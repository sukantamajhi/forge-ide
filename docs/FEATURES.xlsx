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eatures" sheetId="2" state="visible" r:id="rId2"/>
    <sheet xmlns:r="http://schemas.openxmlformats.org/officeDocument/2006/relationships" name="How to use" sheetId="3" state="visible" r:id="rId3"/>
  </sheets>
  <definedNames>
    <definedName name="_xlnm.Print_Titles" localSheetId="1">'Features'!$1:$1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theme="1"/>
      <sz val="11"/>
      <scheme val="minor"/>
    </font>
    <font>
      <name val="Arial"/>
      <family val="2"/>
      <b val="1"/>
      <color rgb="FF1F3A5F"/>
      <sz val="18"/>
    </font>
    <font>
      <name val="Arial"/>
      <family val="2"/>
      <i val="1"/>
      <color rgb="FF6B7280"/>
      <sz val="10"/>
    </font>
    <font>
      <name val="Arial"/>
      <family val="2"/>
      <b val="1"/>
      <color rgb="FF6B7280"/>
      <sz val="9"/>
    </font>
    <font>
      <name val="Arial"/>
      <family val="2"/>
      <b val="1"/>
      <color rgb="FF1F3A5F"/>
      <sz val="22"/>
    </font>
    <font>
      <name val="Arial"/>
      <family val="2"/>
      <b val="1"/>
      <color rgb="FF065F46"/>
      <sz val="22"/>
    </font>
    <font>
      <name val="Arial"/>
      <family val="2"/>
      <b val="1"/>
      <color rgb="FF92400E"/>
      <sz val="22"/>
    </font>
    <font>
      <name val="Arial"/>
      <family val="2"/>
      <b val="1"/>
      <color rgb="FF991B1B"/>
      <sz val="22"/>
    </font>
    <font>
      <name val="Arial"/>
      <family val="2"/>
      <b val="1"/>
      <color rgb="FF1F3A5F"/>
      <sz val="12"/>
    </font>
    <font>
      <name val="Arial"/>
      <family val="2"/>
      <b val="1"/>
      <color rgb="FFFFFFFF"/>
      <sz val="10"/>
    </font>
    <font>
      <name val="Arial"/>
      <family val="2"/>
      <color rgb="FF1F2937"/>
      <sz val="10"/>
    </font>
    <font>
      <name val="Arial"/>
      <family val="2"/>
      <b val="1"/>
      <color rgb="FF1F2937"/>
      <sz val="10"/>
    </font>
    <font>
      <name val="Arial"/>
      <family val="2"/>
      <b val="1"/>
      <color rgb="FFB45309"/>
      <sz val="10"/>
    </font>
    <font>
      <name val="Arial"/>
      <family val="2"/>
      <i val="1"/>
      <color rgb="FF6B7280"/>
      <sz val="9"/>
    </font>
    <font>
      <name val="Arial"/>
      <family val="2"/>
      <b val="1"/>
      <color rgb="FFFFFFFF"/>
      <sz val="11"/>
    </font>
    <font>
      <name val="Arial"/>
      <family val="2"/>
      <b val="1"/>
      <color rgb="FF1F3A5F"/>
      <sz val="16"/>
    </font>
  </fonts>
  <fills count="4">
    <fill>
      <patternFill/>
    </fill>
    <fill>
      <patternFill patternType="gray125"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9" fontId="4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3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indent="1"/>
    </xf>
    <xf numFmtId="0" fontId="10" fillId="0" borderId="1" applyAlignment="1" pivotButton="0" quotePrefix="0" xfId="0">
      <alignment horizontal="center"/>
    </xf>
    <xf numFmtId="9" fontId="10" fillId="0" borderId="1" applyAlignment="1" pivotButton="0" quotePrefix="0" xfId="0">
      <alignment horizontal="center"/>
    </xf>
    <xf numFmtId="0" fontId="11" fillId="2" borderId="1" applyAlignment="1" pivotButton="0" quotePrefix="0" xfId="0">
      <alignment horizontal="left" indent="1"/>
    </xf>
    <xf numFmtId="0" fontId="11" fillId="2" borderId="1" applyAlignment="1" pivotButton="0" quotePrefix="0" xfId="0">
      <alignment horizontal="center"/>
    </xf>
    <xf numFmtId="9" fontId="11" fillId="2" borderId="1" applyAlignment="1" pivotButton="0" quotePrefix="0" xfId="0">
      <alignment horizontal="center"/>
    </xf>
    <xf numFmtId="0" fontId="11" fillId="0" borderId="1" applyAlignment="1" pivotButton="0" quotePrefix="0" xfId="0">
      <alignment horizontal="left" indent="1"/>
    </xf>
    <xf numFmtId="0" fontId="10" fillId="0" borderId="0" pivotButton="0" quotePrefix="0" xfId="0"/>
    <xf numFmtId="0" fontId="12" fillId="0" borderId="0" applyAlignment="1" pivotButton="0" quotePrefix="0" xfId="0">
      <alignment horizontal="center"/>
    </xf>
    <xf numFmtId="0" fontId="13" fillId="0" borderId="0" pivotButton="0" quotePrefix="0" xfId="0"/>
    <xf numFmtId="0" fontId="14" fillId="3" borderId="0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left" vertical="top"/>
    </xf>
    <xf numFmtId="0" fontId="10" fillId="0" borderId="1" applyAlignment="1" pivotButton="0" quotePrefix="0" xfId="0">
      <alignment horizontal="left" vertical="top" wrapText="1"/>
    </xf>
    <xf numFmtId="164" fontId="10" fillId="0" borderId="1" applyAlignment="1" pivotButton="0" quotePrefix="0" xfId="0">
      <alignment horizontal="center" vertical="top"/>
    </xf>
    <xf numFmtId="0" fontId="15" fillId="0" borderId="0" pivotButton="0" quotePrefix="0" xfId="0"/>
    <xf numFmtId="0" fontId="11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 wrapText="1"/>
    </xf>
    <xf numFmtId="0" fontId="11" fillId="0" borderId="0" pivotButton="0" quotePrefix="0" xfId="0"/>
    <xf numFmtId="0" fontId="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164" fontId="10" fillId="0" borderId="1" applyAlignment="1" pivotButton="0" quotePrefix="0" xfId="0">
      <alignment horizontal="center" vertical="center"/>
    </xf>
  </cellXfs>
  <cellStyles count="1">
    <cellStyle name="Normal" xfId="0" builtinId="0"/>
  </cellStyles>
  <dxfs count="7">
    <dxf>
      <font>
        <name val="Arial"/>
        <b val="1"/>
        <color rgb="FF065F46"/>
      </font>
      <fill>
        <patternFill patternType="solid">
          <fgColor rgb="FFD1FAE5"/>
          <bgColor rgb="FFD1FAE5"/>
        </patternFill>
      </fill>
    </dxf>
    <dxf>
      <font>
        <name val="Arial"/>
        <b val="1"/>
        <color rgb="FF92400E"/>
      </font>
      <fill>
        <patternFill patternType="solid">
          <fgColor rgb="FFFEF3C7"/>
          <bgColor rgb="FFFEF3C7"/>
        </patternFill>
      </fill>
    </dxf>
    <dxf>
      <font>
        <name val="Arial"/>
        <b val="1"/>
        <color rgb="FF991B1B"/>
      </font>
      <fill>
        <patternFill patternType="solid">
          <fgColor rgb="FFFEE2E2"/>
          <bgColor rgb="FFFEE2E2"/>
        </patternFill>
      </fill>
    </dxf>
    <dxf>
      <font>
        <name val="Arial"/>
        <b val="1"/>
        <color rgb="FFB91C1C"/>
      </font>
    </dxf>
    <dxf>
      <font>
        <name val="Arial"/>
        <b val="1"/>
        <color rgb="FFB45309"/>
      </font>
    </dxf>
    <dxf>
      <font>
        <name val="Arial"/>
        <color rgb="FF6B7280"/>
      </font>
    </dxf>
    <dxf>
      <font>
        <name val="Arial"/>
        <i val="1"/>
        <color rgb="FFB45309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Features" displayName="Features" ref="A1:I151" headerRowCount="1" totalsRowShown="0">
  <autoFilter ref="A1:I151"/>
  <tableColumns count="9">
    <tableColumn id="1" name="ID"/>
    <tableColumn id="2" name="Area"/>
    <tableColumn id="3" name="Feature"/>
    <tableColumn id="4" name="Status"/>
    <tableColumn id="5" name="Priority"/>
    <tableColumn id="6" name="Verified"/>
    <tableColumn id="7" name="Notes"/>
    <tableColumn id="8" name="Owner"/>
    <tableColumn id="9" name="Updated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Them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FF10B981"/>
    <outlinePr summaryBelow="1" summaryRight="1"/>
    <pageSetUpPr/>
  </sheetPr>
  <dimension ref="B2:G30"/>
  <sheetViews>
    <sheetView showGridLines="0" tabSelected="1" topLeftCell="A4" zoomScale="170" zoomScaleNormal="170" workbookViewId="0">
      <selection activeCell="I25" sqref="I25"/>
    </sheetView>
  </sheetViews>
  <sheetFormatPr baseColWidth="8" defaultRowHeight="15"/>
  <cols>
    <col width="3.00390625" customWidth="1" min="1" max="1"/>
    <col width="24.00390625" customWidth="1" min="2" max="2"/>
    <col width="12.00390625" customWidth="1" min="3" max="4"/>
    <col width="14.00390625" customWidth="1" min="5" max="5"/>
    <col width="12.00390625" customWidth="1" min="6" max="6"/>
    <col width="14.00390625" customWidth="1" min="7" max="7"/>
    <col width="3.00390625" customWidth="1" min="8" max="8"/>
  </cols>
  <sheetData>
    <row r="2" ht="24.55" customHeight="1">
      <c r="B2" s="1" t="inlineStr">
        <is>
          <t>Forge: feature tracker</t>
        </is>
      </c>
    </row>
    <row r="3">
      <c r="B3" s="2" t="inlineStr">
        <is>
          <t>Counts come from the Features sheet and update when you change Status or add rows.</t>
        </is>
      </c>
    </row>
    <row r="5">
      <c r="B5" s="3" t="inlineStr">
        <is>
          <t>Total</t>
        </is>
      </c>
      <c r="C5" s="3" t="inlineStr">
        <is>
          <t>Done</t>
        </is>
      </c>
      <c r="D5" s="3" t="inlineStr">
        <is>
          <t>Partial</t>
        </is>
      </c>
      <c r="E5" s="3" t="inlineStr">
        <is>
          <t>Not started</t>
        </is>
      </c>
      <c r="F5" s="3" t="inlineStr">
        <is>
          <t>% done</t>
        </is>
      </c>
    </row>
    <row r="6" ht="38" customHeight="1">
      <c r="B6" s="4">
        <f>COUNTA(Features!$A$2:$A$500)</f>
        <v/>
      </c>
      <c r="C6" s="5">
        <f>COUNTIF(Features!$D$2:$D$500,"Done")</f>
        <v/>
      </c>
      <c r="D6" s="6">
        <f>COUNTIF(Features!$D$2:$D$500,"Partial")</f>
        <v/>
      </c>
      <c r="E6" s="7">
        <f>COUNTIF(Features!$D$2:$D$500,"Not started")</f>
        <v/>
      </c>
      <c r="F6" s="8">
        <f>IF(B6=0,0,C6/B6)</f>
        <v/>
      </c>
    </row>
    <row r="8" ht="16.5" customHeight="1">
      <c r="B8" s="9" t="inlineStr">
        <is>
          <t>By area</t>
        </is>
      </c>
    </row>
    <row r="9">
      <c r="B9" s="10" t="inlineStr">
        <is>
          <t>Area</t>
        </is>
      </c>
      <c r="C9" s="11" t="inlineStr">
        <is>
          <t>Done</t>
        </is>
      </c>
      <c r="D9" s="11" t="inlineStr">
        <is>
          <t>Partial</t>
        </is>
      </c>
      <c r="E9" s="11" t="inlineStr">
        <is>
          <t>Not started</t>
        </is>
      </c>
      <c r="F9" s="11" t="inlineStr">
        <is>
          <t>Total</t>
        </is>
      </c>
      <c r="G9" s="11" t="inlineStr">
        <is>
          <t>% done</t>
        </is>
      </c>
    </row>
    <row r="10">
      <c r="B10" s="12" t="inlineStr">
        <is>
          <t>Editing</t>
        </is>
      </c>
      <c r="C10" s="13">
        <f>COUNTIFS(Features!$B$2:$B$500,$B10,Features!$D$2:$D$500,"Done")</f>
        <v/>
      </c>
      <c r="D10" s="13">
        <f>COUNTIFS(Features!$B$2:$B$500,$B10,Features!$D$2:$D$500,"Partial")</f>
        <v/>
      </c>
      <c r="E10" s="13">
        <f>COUNTIFS(Features!$B$2:$B$500,$B10,Features!$D$2:$D$500,"Not started")</f>
        <v/>
      </c>
      <c r="F10" s="13">
        <f>SUM(C10:E10)</f>
        <v/>
      </c>
      <c r="G10" s="14">
        <f>IF(F10=0,0,C10/F10)</f>
        <v/>
      </c>
    </row>
    <row r="11">
      <c r="B11" s="12" t="inlineStr">
        <is>
          <t>Navigation</t>
        </is>
      </c>
      <c r="C11" s="13">
        <f>COUNTIFS(Features!$B$2:$B$500,$B11,Features!$D$2:$D$500,"Done")</f>
        <v/>
      </c>
      <c r="D11" s="13">
        <f>COUNTIFS(Features!$B$2:$B$500,$B11,Features!$D$2:$D$500,"Partial")</f>
        <v/>
      </c>
      <c r="E11" s="13">
        <f>COUNTIFS(Features!$B$2:$B$500,$B11,Features!$D$2:$D$500,"Not started")</f>
        <v/>
      </c>
      <c r="F11" s="13">
        <f>SUM(C11:E11)</f>
        <v/>
      </c>
      <c r="G11" s="14">
        <f>IF(F11=0,0,C11/F11)</f>
        <v/>
      </c>
    </row>
    <row r="12">
      <c r="B12" s="12" t="inlineStr">
        <is>
          <t>Workbench</t>
        </is>
      </c>
      <c r="C12" s="13">
        <f>COUNTIFS(Features!$B$2:$B$500,$B12,Features!$D$2:$D$500,"Done")</f>
        <v/>
      </c>
      <c r="D12" s="13">
        <f>COUNTIFS(Features!$B$2:$B$500,$B12,Features!$D$2:$D$500,"Partial")</f>
        <v/>
      </c>
      <c r="E12" s="13">
        <f>COUNTIFS(Features!$B$2:$B$500,$B12,Features!$D$2:$D$500,"Not started")</f>
        <v/>
      </c>
      <c r="F12" s="13">
        <f>SUM(C12:E12)</f>
        <v/>
      </c>
      <c r="G12" s="14">
        <f>IF(F12=0,0,C12/F12)</f>
        <v/>
      </c>
    </row>
    <row r="13">
      <c r="B13" s="12" t="inlineStr">
        <is>
          <t>Terminal</t>
        </is>
      </c>
      <c r="C13" s="13">
        <f>COUNTIFS(Features!$B$2:$B$500,$B13,Features!$D$2:$D$500,"Done")</f>
        <v/>
      </c>
      <c r="D13" s="13">
        <f>COUNTIFS(Features!$B$2:$B$500,$B13,Features!$D$2:$D$500,"Partial")</f>
        <v/>
      </c>
      <c r="E13" s="13">
        <f>COUNTIFS(Features!$B$2:$B$500,$B13,Features!$D$2:$D$500,"Not started")</f>
        <v/>
      </c>
      <c r="F13" s="13">
        <f>SUM(C13:E13)</f>
        <v/>
      </c>
      <c r="G13" s="14">
        <f>IF(F13=0,0,C13/F13)</f>
        <v/>
      </c>
    </row>
    <row r="14">
      <c r="B14" s="12" t="inlineStr">
        <is>
          <t>Language servers</t>
        </is>
      </c>
      <c r="C14" s="13">
        <f>COUNTIFS(Features!$B$2:$B$500,$B14,Features!$D$2:$D$500,"Done")</f>
        <v/>
      </c>
      <c r="D14" s="13">
        <f>COUNTIFS(Features!$B$2:$B$500,$B14,Features!$D$2:$D$500,"Partial")</f>
        <v/>
      </c>
      <c r="E14" s="13">
        <f>COUNTIFS(Features!$B$2:$B$500,$B14,Features!$D$2:$D$500,"Not started")</f>
        <v/>
      </c>
      <c r="F14" s="13">
        <f>SUM(C14:E14)</f>
        <v/>
      </c>
      <c r="G14" s="14">
        <f>IF(F14=0,0,C14/F14)</f>
        <v/>
      </c>
    </row>
    <row r="15">
      <c r="B15" s="12" t="inlineStr">
        <is>
          <t>Source control</t>
        </is>
      </c>
      <c r="C15" s="13">
        <f>COUNTIFS(Features!$B$2:$B$500,$B15,Features!$D$2:$D$500,"Done")</f>
        <v/>
      </c>
      <c r="D15" s="13">
        <f>COUNTIFS(Features!$B$2:$B$500,$B15,Features!$D$2:$D$500,"Partial")</f>
        <v/>
      </c>
      <c r="E15" s="13">
        <f>COUNTIFS(Features!$B$2:$B$500,$B15,Features!$D$2:$D$500,"Not started")</f>
        <v/>
      </c>
      <c r="F15" s="13">
        <f>SUM(C15:E15)</f>
        <v/>
      </c>
      <c r="G15" s="14">
        <f>IF(F15=0,0,C15/F15)</f>
        <v/>
      </c>
    </row>
    <row r="16">
      <c r="B16" s="12" t="inlineStr">
        <is>
          <t>Debugging</t>
        </is>
      </c>
      <c r="C16" s="13">
        <f>COUNTIFS(Features!$B$2:$B$500,$B16,Features!$D$2:$D$500,"Done")</f>
        <v/>
      </c>
      <c r="D16" s="13">
        <f>COUNTIFS(Features!$B$2:$B$500,$B16,Features!$D$2:$D$500,"Partial")</f>
        <v/>
      </c>
      <c r="E16" s="13">
        <f>COUNTIFS(Features!$B$2:$B$500,$B16,Features!$D$2:$D$500,"Not started")</f>
        <v/>
      </c>
      <c r="F16" s="13">
        <f>SUM(C16:E16)</f>
        <v/>
      </c>
      <c r="G16" s="14">
        <f>IF(F16=0,0,C16/F16)</f>
        <v/>
      </c>
    </row>
    <row r="17">
      <c r="B17" s="12" t="inlineStr">
        <is>
          <t>Extensions</t>
        </is>
      </c>
      <c r="C17" s="13">
        <f>COUNTIFS(Features!$B$2:$B$500,$B17,Features!$D$2:$D$500,"Done")</f>
        <v/>
      </c>
      <c r="D17" s="13">
        <f>COUNTIFS(Features!$B$2:$B$500,$B17,Features!$D$2:$D$500,"Partial")</f>
        <v/>
      </c>
      <c r="E17" s="13">
        <f>COUNTIFS(Features!$B$2:$B$500,$B17,Features!$D$2:$D$500,"Not started")</f>
        <v/>
      </c>
      <c r="F17" s="13">
        <f>SUM(C17:E17)</f>
        <v/>
      </c>
      <c r="G17" s="14">
        <f>IF(F17=0,0,C17/F17)</f>
        <v/>
      </c>
    </row>
    <row r="18">
      <c r="B18" s="12" t="inlineStr">
        <is>
          <t>Text and files</t>
        </is>
      </c>
      <c r="C18" s="13">
        <f>COUNTIFS(Features!$B$2:$B$500,$B18,Features!$D$2:$D$500,"Done")</f>
        <v/>
      </c>
      <c r="D18" s="13">
        <f>COUNTIFS(Features!$B$2:$B$500,$B18,Features!$D$2:$D$500,"Partial")</f>
        <v/>
      </c>
      <c r="E18" s="13">
        <f>COUNTIFS(Features!$B$2:$B$500,$B18,Features!$D$2:$D$500,"Not started")</f>
        <v/>
      </c>
      <c r="F18" s="13">
        <f>SUM(C18:E18)</f>
        <v/>
      </c>
      <c r="G18" s="14">
        <f>IF(F18=0,0,C18/F18)</f>
        <v/>
      </c>
    </row>
    <row r="19">
      <c r="B19" s="12" t="inlineStr">
        <is>
          <t>Highlighting</t>
        </is>
      </c>
      <c r="C19" s="13">
        <f>COUNTIFS(Features!$B$2:$B$500,$B19,Features!$D$2:$D$500,"Done")</f>
        <v/>
      </c>
      <c r="D19" s="13">
        <f>COUNTIFS(Features!$B$2:$B$500,$B19,Features!$D$2:$D$500,"Partial")</f>
        <v/>
      </c>
      <c r="E19" s="13">
        <f>COUNTIFS(Features!$B$2:$B$500,$B19,Features!$D$2:$D$500,"Not started")</f>
        <v/>
      </c>
      <c r="F19" s="13">
        <f>SUM(C19:E19)</f>
        <v/>
      </c>
      <c r="G19" s="14">
        <f>IF(F19=0,0,C19/F19)</f>
        <v/>
      </c>
    </row>
    <row r="20">
      <c r="B20" s="12" t="inlineStr">
        <is>
          <t>Packaging</t>
        </is>
      </c>
      <c r="C20" s="13">
        <f>COUNTIFS(Features!$B$2:$B$500,$B20,Features!$D$2:$D$500,"Done")</f>
        <v/>
      </c>
      <c r="D20" s="13">
        <f>COUNTIFS(Features!$B$2:$B$500,$B20,Features!$D$2:$D$500,"Partial")</f>
        <v/>
      </c>
      <c r="E20" s="13">
        <f>COUNTIFS(Features!$B$2:$B$500,$B20,Features!$D$2:$D$500,"Not started")</f>
        <v/>
      </c>
      <c r="F20" s="13">
        <f>SUM(C20:E20)</f>
        <v/>
      </c>
      <c r="G20" s="14">
        <f>IF(F20=0,0,C20/F20)</f>
        <v/>
      </c>
    </row>
    <row r="21">
      <c r="B21" s="15" t="inlineStr">
        <is>
          <t>Total</t>
        </is>
      </c>
      <c r="C21" s="16">
        <f>SUM(C10:C20)</f>
        <v/>
      </c>
      <c r="D21" s="16">
        <f>SUM(D10:D20)</f>
        <v/>
      </c>
      <c r="E21" s="16">
        <f>SUM(E10:E20)</f>
        <v/>
      </c>
      <c r="F21" s="16">
        <f>SUM(F10:F20)</f>
        <v/>
      </c>
      <c r="G21" s="17">
        <f>IF(F21=0,0,C21/F21)</f>
        <v/>
      </c>
    </row>
    <row r="23" ht="16.5" customHeight="1">
      <c r="B23" s="9" t="inlineStr">
        <is>
          <t>Open items by priority</t>
        </is>
      </c>
    </row>
    <row r="24">
      <c r="B24" s="11" t="inlineStr">
        <is>
          <t>Priority</t>
        </is>
      </c>
      <c r="C24" s="11" t="inlineStr">
        <is>
          <t>Partial</t>
        </is>
      </c>
      <c r="D24" s="11" t="inlineStr">
        <is>
          <t>Not started</t>
        </is>
      </c>
      <c r="E24" s="11" t="inlineStr">
        <is>
          <t>Open</t>
        </is>
      </c>
    </row>
    <row r="25">
      <c r="B25" s="18" t="inlineStr">
        <is>
          <t>High</t>
        </is>
      </c>
      <c r="C25" s="13">
        <f>COUNTIFS(Features!$E$2:$E$500,$B25,Features!$D$2:$D$500,"Partial")</f>
        <v/>
      </c>
      <c r="D25" s="13">
        <f>COUNTIFS(Features!$E$2:$E$500,$B25,Features!$D$2:$D$500,"Not started")</f>
        <v/>
      </c>
      <c r="E25" s="13">
        <f>C25+D25</f>
        <v/>
      </c>
    </row>
    <row r="26">
      <c r="B26" s="18" t="inlineStr">
        <is>
          <t>Medium</t>
        </is>
      </c>
      <c r="C26" s="13">
        <f>COUNTIFS(Features!$E$2:$E$500,$B26,Features!$D$2:$D$500,"Partial")</f>
        <v/>
      </c>
      <c r="D26" s="13">
        <f>COUNTIFS(Features!$E$2:$E$500,$B26,Features!$D$2:$D$500,"Not started")</f>
        <v/>
      </c>
      <c r="E26" s="13">
        <f>C26+D26</f>
        <v/>
      </c>
    </row>
    <row r="27">
      <c r="B27" s="18" t="inlineStr">
        <is>
          <t>Low</t>
        </is>
      </c>
      <c r="C27" s="13">
        <f>COUNTIFS(Features!$E$2:$E$500,$B27,Features!$D$2:$D$500,"Partial")</f>
        <v/>
      </c>
      <c r="D27" s="13">
        <f>COUNTIFS(Features!$E$2:$E$500,$B27,Features!$D$2:$D$500,"Not started")</f>
        <v/>
      </c>
      <c r="E27" s="13">
        <f>C27+D27</f>
        <v/>
      </c>
    </row>
    <row r="29">
      <c r="B29" s="19" t="inlineStr">
        <is>
          <t>Done but not run in the app</t>
        </is>
      </c>
      <c r="E29" s="20">
        <f>COUNTIFS(Features!$F$2:$F$500,"Tests")+COUNTIFS(Features!$F$2:$F$500,"Not verified")</f>
        <v/>
      </c>
    </row>
    <row r="30">
      <c r="B30" s="21" t="inlineStr">
        <is>
          <t>(Verified = Tests or Not verified)</t>
        </is>
      </c>
    </row>
  </sheetData>
  <conditionalFormatting sqref="G10:G20">
    <cfRule type="dataBar" priority="1">
      <dataBar>
        <cfvo type="num" val="0"/>
        <cfvo type="num" val="1"/>
        <color rgb="FF34D399"/>
      </dataBar>
    </cfRule>
  </conditionalFormatting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tabColor rgb="FF1F3A5F"/>
    <outlinePr summaryBelow="1" summaryRight="1"/>
    <pageSetUpPr fitToPage="1"/>
  </sheetPr>
  <dimension ref="A1:I151"/>
  <sheetViews>
    <sheetView zoomScale="140" zoomScaleNormal="140" workbookViewId="0">
      <pane xSplit="3" ySplit="1" topLeftCell="D2" activePane="bottomRight" state="frozen"/>
      <selection pane="bottomRight" activeCell="A1" sqref="A1"/>
    </sheetView>
  </sheetViews>
  <sheetFormatPr baseColWidth="8" defaultRowHeight="15"/>
  <cols>
    <col width="8.00390625" customWidth="1" style="31" min="1" max="1"/>
    <col width="17.00390625" customWidth="1" style="31" min="2" max="2"/>
    <col width="58.00390625" customWidth="1" style="31" min="3" max="3"/>
    <col width="10.00390625" customWidth="1" style="31" min="4" max="4"/>
    <col width="11.140625" customWidth="1" style="31" min="5" max="5"/>
    <col width="14.00390625" customWidth="1" style="31" min="6" max="6"/>
    <col width="70.00390625" customWidth="1" style="31" min="7" max="7"/>
    <col width="14.00390625" customWidth="1" style="31" min="8" max="8"/>
    <col width="12.140625" customWidth="1" style="31" min="9" max="9"/>
    <col width="9.140625" customWidth="1" style="31" min="10" max="16384"/>
  </cols>
  <sheetData>
    <row r="1" ht="25.5" customHeight="1">
      <c r="A1" s="22" t="inlineStr">
        <is>
          <t>ID</t>
        </is>
      </c>
      <c r="B1" s="22" t="inlineStr">
        <is>
          <t>Area</t>
        </is>
      </c>
      <c r="C1" s="22" t="inlineStr">
        <is>
          <t>Feature</t>
        </is>
      </c>
      <c r="D1" s="22" t="inlineStr">
        <is>
          <t>Status</t>
        </is>
      </c>
      <c r="E1" s="22" t="inlineStr">
        <is>
          <t>Priority</t>
        </is>
      </c>
      <c r="F1" s="22" t="inlineStr">
        <is>
          <t>Verified</t>
        </is>
      </c>
      <c r="G1" s="22" t="inlineStr">
        <is>
          <t>Notes</t>
        </is>
      </c>
      <c r="H1" s="22" t="inlineStr">
        <is>
          <t>Owner</t>
        </is>
      </c>
      <c r="I1" s="22" t="inlineStr">
        <is>
          <t>Updated</t>
        </is>
      </c>
    </row>
    <row r="2">
      <c r="A2" s="32" t="inlineStr">
        <is>
          <t>F-001</t>
        </is>
      </c>
      <c r="B2" s="33" t="inlineStr">
        <is>
          <t>Editing</t>
        </is>
      </c>
      <c r="C2" s="34" t="inlineStr">
        <is>
          <t>Multi-cursor editing</t>
        </is>
      </c>
      <c r="D2" s="32" t="inlineStr">
        <is>
          <t>Done</t>
        </is>
      </c>
      <c r="E2" s="32" t="n"/>
      <c r="F2" s="32" t="inlineStr">
        <is>
          <t>App</t>
        </is>
      </c>
      <c r="G2" s="34" t="inlineStr">
        <is>
          <t>Ctrl+D / Ctrl+Alt+Up/Down / Ctrl+Shift+L</t>
        </is>
      </c>
      <c r="H2" s="33" t="n"/>
      <c r="I2" s="35" t="n">
        <v>46325</v>
      </c>
    </row>
    <row r="3">
      <c r="A3" s="32" t="inlineStr">
        <is>
          <t>F-002</t>
        </is>
      </c>
      <c r="B3" s="33" t="inlineStr">
        <is>
          <t>Editing</t>
        </is>
      </c>
      <c r="C3" s="34" t="inlineStr">
        <is>
          <t>Find and replace in file</t>
        </is>
      </c>
      <c r="D3" s="32" t="inlineStr">
        <is>
          <t>Done</t>
        </is>
      </c>
      <c r="E3" s="32" t="n"/>
      <c r="F3" s="32" t="inlineStr">
        <is>
          <t>App</t>
        </is>
      </c>
      <c r="G3" s="34" t="n"/>
      <c r="H3" s="33" t="n"/>
      <c r="I3" s="35" t="n">
        <v>46325</v>
      </c>
    </row>
    <row r="4">
      <c r="A4" s="32" t="inlineStr">
        <is>
          <t>F-003</t>
        </is>
      </c>
      <c r="B4" s="33" t="inlineStr">
        <is>
          <t>Editing</t>
        </is>
      </c>
      <c r="C4" s="34" t="inlineStr">
        <is>
          <t>Find and Replace in Files</t>
        </is>
      </c>
      <c r="D4" s="32" t="inlineStr">
        <is>
          <t>Done</t>
        </is>
      </c>
      <c r="E4" s="32" t="n"/>
      <c r="F4" s="32" t="inlineStr">
        <is>
          <t>App</t>
        </is>
      </c>
      <c r="G4" s="34" t="n"/>
      <c r="H4" s="33" t="n"/>
      <c r="I4" s="35" t="n">
        <v>46325</v>
      </c>
    </row>
    <row r="5">
      <c r="A5" s="32" t="inlineStr">
        <is>
          <t>F-004</t>
        </is>
      </c>
      <c r="B5" s="33" t="inlineStr">
        <is>
          <t>Editing</t>
        </is>
      </c>
      <c r="C5" s="34" t="inlineStr">
        <is>
          <t>Code folding</t>
        </is>
      </c>
      <c r="D5" s="32" t="inlineStr">
        <is>
          <t>Done</t>
        </is>
      </c>
      <c r="E5" s="32" t="n"/>
      <c r="F5" s="32" t="inlineStr">
        <is>
          <t>App</t>
        </is>
      </c>
      <c r="G5" s="34" t="n"/>
      <c r="H5" s="33" t="n"/>
      <c r="I5" s="35" t="n">
        <v>46325</v>
      </c>
    </row>
    <row r="6">
      <c r="A6" s="32" t="inlineStr">
        <is>
          <t>F-005</t>
        </is>
      </c>
      <c r="B6" s="33" t="inlineStr">
        <is>
          <t>Editing</t>
        </is>
      </c>
      <c r="C6" s="34" t="inlineStr">
        <is>
          <t>Snippets</t>
        </is>
      </c>
      <c r="D6" s="32" t="inlineStr">
        <is>
          <t>Done</t>
        </is>
      </c>
      <c r="E6" s="32" t="n"/>
      <c r="F6" s="32" t="inlineStr">
        <is>
          <t>App</t>
        </is>
      </c>
      <c r="G6" s="34" t="inlineStr">
        <is>
          <t>Prefix + Tab, popup, tab stops, mirrors, choices, variables, transforms; see F-104 to F-110</t>
        </is>
      </c>
      <c r="H6" s="33" t="n"/>
      <c r="I6" s="35" t="n">
        <v>46325</v>
      </c>
    </row>
    <row r="7">
      <c r="A7" s="32" t="inlineStr">
        <is>
          <t>F-006</t>
        </is>
      </c>
      <c r="B7" s="33" t="inlineStr">
        <is>
          <t>Editing</t>
        </is>
      </c>
      <c r="C7" s="34" t="inlineStr">
        <is>
          <t>Format Document</t>
        </is>
      </c>
      <c r="D7" s="32" t="inlineStr">
        <is>
          <t>Done</t>
        </is>
      </c>
      <c r="E7" s="32" t="n"/>
      <c r="F7" s="32" t="inlineStr">
        <is>
          <t>App</t>
        </is>
      </c>
      <c r="G7" s="34" t="inlineStr">
        <is>
          <t>Needs a language server; per-language tab size is used</t>
        </is>
      </c>
      <c r="H7" s="33" t="n"/>
      <c r="I7" s="35" t="n">
        <v>46325</v>
      </c>
    </row>
    <row r="8" ht="28.5" customHeight="1">
      <c r="A8" s="32" t="inlineStr">
        <is>
          <t>F-007</t>
        </is>
      </c>
      <c r="B8" s="33" t="inlineStr">
        <is>
          <t>Editing</t>
        </is>
      </c>
      <c r="C8" s="34" t="inlineStr">
        <is>
          <t>Format Selection</t>
        </is>
      </c>
      <c r="D8" s="32" t="inlineStr">
        <is>
          <t>Partial</t>
        </is>
      </c>
      <c r="E8" s="32" t="inlineStr">
        <is>
          <t>Medium</t>
        </is>
      </c>
      <c r="F8" s="32" t="inlineStr">
        <is>
          <t>Not verified</t>
        </is>
      </c>
      <c r="G8" s="34" t="inlineStr">
        <is>
          <t>Builds and sends rangeFormatting; never tried against a running language server</t>
        </is>
      </c>
      <c r="H8" s="33" t="n"/>
      <c r="I8" s="35" t="n">
        <v>46325</v>
      </c>
    </row>
    <row r="9" ht="28.5" customHeight="1">
      <c r="A9" s="32" t="inlineStr">
        <is>
          <t>F-008</t>
        </is>
      </c>
      <c r="B9" s="33" t="inlineStr">
        <is>
          <t>Editing</t>
        </is>
      </c>
      <c r="C9" s="34" t="inlineStr">
        <is>
          <t>Organize Imports</t>
        </is>
      </c>
      <c r="D9" s="32" t="inlineStr">
        <is>
          <t>Partial</t>
        </is>
      </c>
      <c r="E9" s="32" t="inlineStr">
        <is>
          <t>Medium</t>
        </is>
      </c>
      <c r="F9" s="32" t="inlineStr">
        <is>
          <t>Not verified</t>
        </is>
      </c>
      <c r="G9" s="34" t="inlineStr">
        <is>
          <t>Builds and sends source.organizeImports; never tried against a running language server</t>
        </is>
      </c>
      <c r="H9" s="33" t="n"/>
      <c r="I9" s="35" t="n">
        <v>46325</v>
      </c>
    </row>
    <row r="10">
      <c r="A10" s="32" t="inlineStr">
        <is>
          <t>F-009</t>
        </is>
      </c>
      <c r="B10" s="33" t="inlineStr">
        <is>
          <t>Editing</t>
        </is>
      </c>
      <c r="C10" s="34" t="inlineStr">
        <is>
          <t>Auto Save (afterDelay / onFocusChange)</t>
        </is>
      </c>
      <c r="D10" s="32" t="inlineStr">
        <is>
          <t>Done</t>
        </is>
      </c>
      <c r="E10" s="32" t="n"/>
      <c r="F10" s="32" t="inlineStr">
        <is>
          <t>App</t>
        </is>
      </c>
      <c r="G10" s="34" t="inlineStr">
        <is>
          <t>Saves only the file in front (afterDelay); format on save is not run by it</t>
        </is>
      </c>
      <c r="H10" s="33" t="n"/>
      <c r="I10" s="35" t="n">
        <v>46325</v>
      </c>
    </row>
    <row r="11" ht="28.5" customHeight="1">
      <c r="A11" s="32" t="inlineStr">
        <is>
          <t>F-010</t>
        </is>
      </c>
      <c r="B11" s="33" t="inlineStr">
        <is>
          <t>Editing</t>
        </is>
      </c>
      <c r="C11" s="34" t="inlineStr">
        <is>
          <t>Per-language settings ([lang] blocks)</t>
        </is>
      </c>
      <c r="D11" s="32" t="inlineStr">
        <is>
          <t>Partial</t>
        </is>
      </c>
      <c r="E11" s="32" t="inlineStr">
        <is>
          <t>Low</t>
        </is>
      </c>
      <c r="F11" s="32" t="inlineStr">
        <is>
          <t>Tests</t>
        </is>
      </c>
      <c r="G11" s="34" t="inlineStr">
        <is>
          <t>Only editor.tabSize / insertSpaces / formatOnSave are read; other settings are global</t>
        </is>
      </c>
      <c r="H11" s="33" t="n"/>
      <c r="I11" s="35" t="n">
        <v>46325</v>
      </c>
    </row>
    <row r="12">
      <c r="A12" s="32" t="inlineStr">
        <is>
          <t>F-011</t>
        </is>
      </c>
      <c r="B12" s="33" t="inlineStr">
        <is>
          <t>Editing</t>
        </is>
      </c>
      <c r="C12" s="34" t="inlineStr">
        <is>
          <t>Word wrap and minimap</t>
        </is>
      </c>
      <c r="D12" s="32" t="inlineStr">
        <is>
          <t>Done</t>
        </is>
      </c>
      <c r="E12" s="32" t="n"/>
      <c r="F12" s="32" t="inlineStr">
        <is>
          <t>App</t>
        </is>
      </c>
      <c r="G12" s="34" t="n"/>
      <c r="H12" s="33" t="n"/>
      <c r="I12" s="35" t="n">
        <v>46325</v>
      </c>
    </row>
    <row r="13">
      <c r="A13" s="32" t="inlineStr">
        <is>
          <t>F-012</t>
        </is>
      </c>
      <c r="B13" s="33" t="inlineStr">
        <is>
          <t>Editing</t>
        </is>
      </c>
      <c r="C13" s="34" t="inlineStr">
        <is>
          <t>Emmet (HTML, JSX, CSS; Tab to expand)</t>
        </is>
      </c>
      <c r="D13" s="32" t="inlineStr">
        <is>
          <t>Done</t>
        </is>
      </c>
      <c r="E13" s="32" t="n"/>
      <c r="F13" s="32" t="inlineStr">
        <is>
          <t>App</t>
        </is>
      </c>
      <c r="G13" s="34" t="inlineStr">
        <is>
          <t>A practical subset: no filters, no lorem, fewer CSS abbreviations</t>
        </is>
      </c>
      <c r="H13" s="33" t="n"/>
      <c r="I13" s="35" t="n">
        <v>46325</v>
      </c>
    </row>
    <row r="14">
      <c r="A14" s="32" t="inlineStr">
        <is>
          <t>F-013</t>
        </is>
      </c>
      <c r="B14" s="33" t="inlineStr">
        <is>
          <t>Editing</t>
        </is>
      </c>
      <c r="C14" s="34" t="inlineStr">
        <is>
          <t>Spell checking</t>
        </is>
      </c>
      <c r="D14" s="32" t="inlineStr">
        <is>
          <t>Not started</t>
        </is>
      </c>
      <c r="E14" s="32" t="inlineStr">
        <is>
          <t>Low</t>
        </is>
      </c>
      <c r="F14" s="32" t="n"/>
      <c r="G14" s="34" t="n"/>
      <c r="H14" s="33" t="n"/>
      <c r="I14" s="35" t="n">
        <v>46325</v>
      </c>
    </row>
    <row r="15">
      <c r="A15" s="32" t="inlineStr">
        <is>
          <t>F-014</t>
        </is>
      </c>
      <c r="B15" s="33" t="inlineStr">
        <is>
          <t>Editing</t>
        </is>
      </c>
      <c r="C15" s="34" t="inlineStr">
        <is>
          <t>Sticky scroll</t>
        </is>
      </c>
      <c r="D15" s="32" t="inlineStr">
        <is>
          <t>Done</t>
        </is>
      </c>
      <c r="E15" s="32" t="n"/>
      <c r="F15" s="32" t="inlineStr">
        <is>
          <t>App</t>
        </is>
      </c>
      <c r="G15" s="34" t="inlineStr">
        <is>
          <t>From folding regions; hidden with word wrap on</t>
        </is>
      </c>
      <c r="H15" s="33" t="n"/>
      <c r="I15" s="35" t="n">
        <v>46325</v>
      </c>
    </row>
    <row r="16">
      <c r="A16" s="32" t="inlineStr">
        <is>
          <t>F-015</t>
        </is>
      </c>
      <c r="B16" s="33" t="inlineStr">
        <is>
          <t>Editing</t>
        </is>
      </c>
      <c r="C16" s="34" t="inlineStr">
        <is>
          <t>Linked editing (auto rename paired tags)</t>
        </is>
      </c>
      <c r="D16" s="32" t="inlineStr">
        <is>
          <t>Done</t>
        </is>
      </c>
      <c r="E16" s="32" t="n"/>
      <c r="F16" s="32" t="inlineStr">
        <is>
          <t>App</t>
        </is>
      </c>
      <c r="G16" s="34" t="inlineStr">
        <is>
          <t>HTML, XML, JSX; not for other linked ranges a server might offer</t>
        </is>
      </c>
      <c r="H16" s="33" t="n"/>
      <c r="I16" s="35" t="n">
        <v>46325</v>
      </c>
    </row>
    <row r="17">
      <c r="A17" s="32" t="inlineStr">
        <is>
          <t>F-016</t>
        </is>
      </c>
      <c r="B17" s="33" t="inlineStr">
        <is>
          <t>Editing</t>
        </is>
      </c>
      <c r="C17" s="34" t="inlineStr">
        <is>
          <t>Drag and drop of text</t>
        </is>
      </c>
      <c r="D17" s="32" t="inlineStr">
        <is>
          <t>Not started</t>
        </is>
      </c>
      <c r="E17" s="32" t="inlineStr">
        <is>
          <t>Medium</t>
        </is>
      </c>
      <c r="F17" s="32" t="n"/>
      <c r="G17" s="34" t="n"/>
      <c r="H17" s="33" t="n"/>
      <c r="I17" s="35" t="n">
        <v>46325</v>
      </c>
    </row>
    <row r="18">
      <c r="A18" s="32" t="inlineStr">
        <is>
          <t>F-017</t>
        </is>
      </c>
      <c r="B18" s="33" t="inlineStr">
        <is>
          <t>Editing</t>
        </is>
      </c>
      <c r="C18" s="34" t="inlineStr">
        <is>
          <t>Bookmarks</t>
        </is>
      </c>
      <c r="D18" s="32" t="inlineStr">
        <is>
          <t>Not started</t>
        </is>
      </c>
      <c r="E18" s="32" t="inlineStr">
        <is>
          <t>Low</t>
        </is>
      </c>
      <c r="F18" s="32" t="n"/>
      <c r="G18" s="34" t="n"/>
      <c r="H18" s="33" t="n"/>
      <c r="I18" s="35" t="n">
        <v>46325</v>
      </c>
    </row>
    <row r="19">
      <c r="A19" s="32" t="inlineStr">
        <is>
          <t>F-018</t>
        </is>
      </c>
      <c r="B19" s="33" t="inlineStr">
        <is>
          <t>Editing</t>
        </is>
      </c>
      <c r="C19" s="34" t="inlineStr">
        <is>
          <t>Snippets in the completion popup</t>
        </is>
      </c>
      <c r="D19" s="32" t="inlineStr">
        <is>
          <t>Done</t>
        </is>
      </c>
      <c r="E19" s="32" t="n"/>
      <c r="F19" s="32" t="inlineStr">
        <is>
          <t>App</t>
        </is>
      </c>
      <c r="G19" s="34" t="inlineStr">
        <is>
          <t>Language-server completions are still plain text (F-110)</t>
        </is>
      </c>
      <c r="H19" s="33" t="n"/>
      <c r="I19" s="35" t="n">
        <v>46325</v>
      </c>
    </row>
    <row r="20">
      <c r="A20" s="32" t="inlineStr">
        <is>
          <t>F-019</t>
        </is>
      </c>
      <c r="B20" s="33" t="inlineStr">
        <is>
          <t>Navigation</t>
        </is>
      </c>
      <c r="C20" s="34" t="inlineStr">
        <is>
          <t>Quick Open and Command Palette</t>
        </is>
      </c>
      <c r="D20" s="32" t="inlineStr">
        <is>
          <t>Done</t>
        </is>
      </c>
      <c r="E20" s="32" t="n"/>
      <c r="F20" s="32" t="inlineStr">
        <is>
          <t>App</t>
        </is>
      </c>
      <c r="G20" s="34" t="n"/>
      <c r="H20" s="33" t="n"/>
      <c r="I20" s="35" t="n">
        <v>46325</v>
      </c>
    </row>
    <row r="21">
      <c r="A21" s="32" t="inlineStr">
        <is>
          <t>F-020</t>
        </is>
      </c>
      <c r="B21" s="33" t="inlineStr">
        <is>
          <t>Navigation</t>
        </is>
      </c>
      <c r="C21" s="34" t="inlineStr">
        <is>
          <t>Go to Symbol / Line / Bracket</t>
        </is>
      </c>
      <c r="D21" s="32" t="inlineStr">
        <is>
          <t>Done</t>
        </is>
      </c>
      <c r="E21" s="32" t="n"/>
      <c r="F21" s="32" t="inlineStr">
        <is>
          <t>App</t>
        </is>
      </c>
      <c r="G21" s="34" t="n"/>
      <c r="H21" s="33" t="n"/>
      <c r="I21" s="35" t="n">
        <v>46325</v>
      </c>
    </row>
    <row r="22">
      <c r="A22" s="32" t="inlineStr">
        <is>
          <t>F-021</t>
        </is>
      </c>
      <c r="B22" s="33" t="inlineStr">
        <is>
          <t>Navigation</t>
        </is>
      </c>
      <c r="C22" s="34" t="inlineStr">
        <is>
          <t>Go Back / Go Forward (Alt+Left/Right)</t>
        </is>
      </c>
      <c r="D22" s="32" t="inlineStr">
        <is>
          <t>Done</t>
        </is>
      </c>
      <c r="E22" s="32" t="n"/>
      <c r="F22" s="32" t="inlineStr">
        <is>
          <t>App</t>
        </is>
      </c>
      <c r="G22" s="34" t="n"/>
      <c r="H22" s="33" t="n"/>
      <c r="I22" s="35" t="n">
        <v>46325</v>
      </c>
    </row>
    <row r="23">
      <c r="A23" s="32" t="inlineStr">
        <is>
          <t>F-022</t>
        </is>
      </c>
      <c r="B23" s="33" t="inlineStr">
        <is>
          <t>Navigation</t>
        </is>
      </c>
      <c r="C23" s="34" t="inlineStr">
        <is>
          <t>Reopen Closed Editor (Ctrl+Shift+T)</t>
        </is>
      </c>
      <c r="D23" s="32" t="inlineStr">
        <is>
          <t>Done</t>
        </is>
      </c>
      <c r="E23" s="32" t="n"/>
      <c r="F23" s="32" t="inlineStr">
        <is>
          <t>App</t>
        </is>
      </c>
      <c r="G23" s="34" t="n"/>
      <c r="H23" s="33" t="n"/>
      <c r="I23" s="35" t="n">
        <v>46325</v>
      </c>
    </row>
    <row r="24">
      <c r="A24" s="32" t="inlineStr">
        <is>
          <t>F-023</t>
        </is>
      </c>
      <c r="B24" s="33" t="inlineStr">
        <is>
          <t>Navigation</t>
        </is>
      </c>
      <c r="C24" s="34" t="inlineStr">
        <is>
          <t>Open Recent (Ctrl+R)</t>
        </is>
      </c>
      <c r="D24" s="32" t="inlineStr">
        <is>
          <t>Done</t>
        </is>
      </c>
      <c r="E24" s="32" t="n"/>
      <c r="F24" s="32" t="inlineStr">
        <is>
          <t>App</t>
        </is>
      </c>
      <c r="G24" s="34" t="n"/>
      <c r="H24" s="33" t="n"/>
      <c r="I24" s="35" t="n">
        <v>46325</v>
      </c>
    </row>
    <row r="25">
      <c r="A25" s="32" t="inlineStr">
        <is>
          <t>F-024</t>
        </is>
      </c>
      <c r="B25" s="33" t="inlineStr">
        <is>
          <t>Navigation</t>
        </is>
      </c>
      <c r="C25" s="34" t="inlineStr">
        <is>
          <t>Zen mode</t>
        </is>
      </c>
      <c r="D25" s="32" t="inlineStr">
        <is>
          <t>Done</t>
        </is>
      </c>
      <c r="E25" s="32" t="n"/>
      <c r="F25" s="32" t="inlineStr">
        <is>
          <t>App</t>
        </is>
      </c>
      <c r="G25" s="34" t="inlineStr">
        <is>
          <t>Hides side bar and panel only</t>
        </is>
      </c>
      <c r="H25" s="33" t="n"/>
      <c r="I25" s="35" t="n">
        <v>46325</v>
      </c>
    </row>
    <row r="26">
      <c r="A26" s="32" t="inlineStr">
        <is>
          <t>F-025</t>
        </is>
      </c>
      <c r="B26" s="33" t="inlineStr">
        <is>
          <t>Navigation</t>
        </is>
      </c>
      <c r="C26" s="34" t="inlineStr">
        <is>
          <t>Compare two files</t>
        </is>
      </c>
      <c r="D26" s="32" t="inlineStr">
        <is>
          <t>Done</t>
        </is>
      </c>
      <c r="E26" s="32" t="n"/>
      <c r="F26" s="32" t="inlineStr">
        <is>
          <t>App</t>
        </is>
      </c>
      <c r="G26" s="34" t="inlineStr">
        <is>
          <t>Uses git diff --no-index; git must be installed</t>
        </is>
      </c>
      <c r="H26" s="33" t="n"/>
      <c r="I26" s="35" t="n">
        <v>46325</v>
      </c>
    </row>
    <row r="27">
      <c r="A27" s="32" t="inlineStr">
        <is>
          <t>F-026</t>
        </is>
      </c>
      <c r="B27" s="33" t="inlineStr">
        <is>
          <t>Navigation</t>
        </is>
      </c>
      <c r="C27" s="34" t="inlineStr">
        <is>
          <t>Outline (symbol picker)</t>
        </is>
      </c>
      <c r="D27" s="32" t="inlineStr">
        <is>
          <t>Partial</t>
        </is>
      </c>
      <c r="E27" s="32" t="inlineStr">
        <is>
          <t>Medium</t>
        </is>
      </c>
      <c r="F27" s="32" t="inlineStr">
        <is>
          <t>App</t>
        </is>
      </c>
      <c r="G27" s="34" t="inlineStr">
        <is>
          <t>Picker only; no permanent tree view</t>
        </is>
      </c>
      <c r="H27" s="33" t="n"/>
      <c r="I27" s="35" t="n">
        <v>46325</v>
      </c>
    </row>
    <row r="28">
      <c r="A28" s="32" t="inlineStr">
        <is>
          <t>F-027</t>
        </is>
      </c>
      <c r="B28" s="33" t="inlineStr">
        <is>
          <t>Navigation</t>
        </is>
      </c>
      <c r="C28" s="34" t="inlineStr">
        <is>
          <t>Workspace symbol search (Ctrl+T)</t>
        </is>
      </c>
      <c r="D28" s="32" t="inlineStr">
        <is>
          <t>Not started</t>
        </is>
      </c>
      <c r="E28" s="32" t="inlineStr">
        <is>
          <t>Medium</t>
        </is>
      </c>
      <c r="F28" s="32" t="n"/>
      <c r="G28" s="34" t="inlineStr">
        <is>
          <t>Needs workspace/symbol request and an overlay</t>
        </is>
      </c>
      <c r="H28" s="33" t="n"/>
      <c r="I28" s="35" t="n">
        <v>46325</v>
      </c>
    </row>
    <row r="29">
      <c r="A29" s="32" t="inlineStr">
        <is>
          <t>F-028</t>
        </is>
      </c>
      <c r="B29" s="33" t="inlineStr">
        <is>
          <t>Navigation</t>
        </is>
      </c>
      <c r="C29" s="34" t="inlineStr">
        <is>
          <t>Peek Definition / References</t>
        </is>
      </c>
      <c r="D29" s="32" t="inlineStr">
        <is>
          <t>Not started</t>
        </is>
      </c>
      <c r="E29" s="32" t="inlineStr">
        <is>
          <t>Medium</t>
        </is>
      </c>
      <c r="F29" s="32" t="n"/>
      <c r="G29" s="34" t="n"/>
      <c r="H29" s="33" t="n"/>
      <c r="I29" s="35" t="n">
        <v>46325</v>
      </c>
    </row>
    <row r="30">
      <c r="A30" s="32" t="inlineStr">
        <is>
          <t>F-029</t>
        </is>
      </c>
      <c r="B30" s="33" t="inlineStr">
        <is>
          <t>Navigation</t>
        </is>
      </c>
      <c r="C30" s="34" t="inlineStr">
        <is>
          <t>Call Hierarchy and Type Hierarchy</t>
        </is>
      </c>
      <c r="D30" s="32" t="inlineStr">
        <is>
          <t>Not started</t>
        </is>
      </c>
      <c r="E30" s="32" t="inlineStr">
        <is>
          <t>Low</t>
        </is>
      </c>
      <c r="F30" s="32" t="n"/>
      <c r="G30" s="34" t="n"/>
      <c r="H30" s="33" t="n"/>
      <c r="I30" s="35" t="n">
        <v>46325</v>
      </c>
    </row>
    <row r="31">
      <c r="A31" s="32" t="inlineStr">
        <is>
          <t>F-030</t>
        </is>
      </c>
      <c r="B31" s="33" t="inlineStr">
        <is>
          <t>Navigation</t>
        </is>
      </c>
      <c r="C31" s="34" t="inlineStr">
        <is>
          <t>Search Editor</t>
        </is>
      </c>
      <c r="D31" s="32" t="inlineStr">
        <is>
          <t>Not started</t>
        </is>
      </c>
      <c r="E31" s="32" t="inlineStr">
        <is>
          <t>Low</t>
        </is>
      </c>
      <c r="F31" s="32" t="n"/>
      <c r="G31" s="34" t="n"/>
      <c r="H31" s="33" t="n"/>
      <c r="I31" s="35" t="n">
        <v>46325</v>
      </c>
    </row>
    <row r="32">
      <c r="A32" s="32" t="inlineStr">
        <is>
          <t>F-031</t>
        </is>
      </c>
      <c r="B32" s="33" t="inlineStr">
        <is>
          <t>Workbench</t>
        </is>
      </c>
      <c r="C32" s="34" t="inlineStr">
        <is>
          <t>Menu bar (File Edit Selection View Go Run Terminal Help)</t>
        </is>
      </c>
      <c r="D32" s="32" t="inlineStr">
        <is>
          <t>Done</t>
        </is>
      </c>
      <c r="E32" s="32" t="n"/>
      <c r="F32" s="32" t="inlineStr">
        <is>
          <t>App</t>
        </is>
      </c>
      <c r="G32" s="34" t="inlineStr">
        <is>
          <t>Mouse only</t>
        </is>
      </c>
      <c r="H32" s="33" t="n"/>
      <c r="I32" s="35" t="n">
        <v>46325</v>
      </c>
    </row>
    <row r="33">
      <c r="A33" s="32" t="inlineStr">
        <is>
          <t>F-032</t>
        </is>
      </c>
      <c r="B33" s="33" t="inlineStr">
        <is>
          <t>Workbench</t>
        </is>
      </c>
      <c r="C33" s="34" t="inlineStr">
        <is>
          <t>Menu bar access keys (Alt+F etc.)</t>
        </is>
      </c>
      <c r="D33" s="32" t="inlineStr">
        <is>
          <t>Not started</t>
        </is>
      </c>
      <c r="E33" s="32" t="inlineStr">
        <is>
          <t>Low</t>
        </is>
      </c>
      <c r="F33" s="32" t="n"/>
      <c r="G33" s="34" t="n"/>
      <c r="H33" s="33" t="n"/>
      <c r="I33" s="35" t="n">
        <v>46325</v>
      </c>
    </row>
    <row r="34">
      <c r="A34" s="32" t="inlineStr">
        <is>
          <t>F-033</t>
        </is>
      </c>
      <c r="B34" s="33" t="inlineStr">
        <is>
          <t>Workbench</t>
        </is>
      </c>
      <c r="C34" s="34" t="inlineStr">
        <is>
          <t>Explorer toolbar (New File / New Folder / Refresh / Collapse)</t>
        </is>
      </c>
      <c r="D34" s="32" t="inlineStr">
        <is>
          <t>Done</t>
        </is>
      </c>
      <c r="E34" s="32" t="n"/>
      <c r="F34" s="32" t="inlineStr">
        <is>
          <t>App</t>
        </is>
      </c>
      <c r="G34" s="34" t="inlineStr">
        <is>
          <t>Refresh and Collapse: Collapse unit-tested</t>
        </is>
      </c>
      <c r="H34" s="33" t="n"/>
      <c r="I34" s="35" t="n">
        <v>46325</v>
      </c>
    </row>
    <row r="35">
      <c r="A35" s="32" t="inlineStr">
        <is>
          <t>F-034</t>
        </is>
      </c>
      <c r="B35" s="33" t="inlineStr">
        <is>
          <t>Workbench</t>
        </is>
      </c>
      <c r="C35" s="34" t="inlineStr">
        <is>
          <t>Explorer right-click menu for folders</t>
        </is>
      </c>
      <c r="D35" s="32" t="inlineStr">
        <is>
          <t>Done</t>
        </is>
      </c>
      <c r="E35" s="32" t="n"/>
      <c r="F35" s="32" t="inlineStr">
        <is>
          <t>App</t>
        </is>
      </c>
      <c r="G35" s="34" t="n"/>
      <c r="H35" s="33" t="n"/>
      <c r="I35" s="35" t="n">
        <v>46325</v>
      </c>
    </row>
    <row r="36">
      <c r="A36" s="32" t="inlineStr">
        <is>
          <t>F-035</t>
        </is>
      </c>
      <c r="B36" s="33" t="inlineStr">
        <is>
          <t>Workbench</t>
        </is>
      </c>
      <c r="C36" s="34" t="inlineStr">
        <is>
          <t>Explorer right-click menu for files</t>
        </is>
      </c>
      <c r="D36" s="32" t="inlineStr">
        <is>
          <t>Done</t>
        </is>
      </c>
      <c r="E36" s="32" t="n"/>
      <c r="F36" s="32" t="inlineStr">
        <is>
          <t>App</t>
        </is>
      </c>
      <c r="G36" s="34" t="n"/>
      <c r="H36" s="33" t="n"/>
      <c r="I36" s="35" t="n">
        <v>46325</v>
      </c>
    </row>
    <row r="37">
      <c r="A37" s="32" t="inlineStr">
        <is>
          <t>F-036</t>
        </is>
      </c>
      <c r="B37" s="33" t="inlineStr">
        <is>
          <t>Workbench</t>
        </is>
      </c>
      <c r="C37" s="34" t="inlineStr">
        <is>
          <t>Explorer right-click menu on empty space</t>
        </is>
      </c>
      <c r="D37" s="32" t="inlineStr">
        <is>
          <t>Done</t>
        </is>
      </c>
      <c r="E37" s="32" t="n"/>
      <c r="F37" s="32" t="inlineStr">
        <is>
          <t>App</t>
        </is>
      </c>
      <c r="G37" s="34" t="n"/>
      <c r="H37" s="33" t="n"/>
      <c r="I37" s="35" t="n">
        <v>46325</v>
      </c>
    </row>
    <row r="38">
      <c r="A38" s="32" t="inlineStr">
        <is>
          <t>F-037</t>
        </is>
      </c>
      <c r="B38" s="33" t="inlineStr">
        <is>
          <t>Workbench</t>
        </is>
      </c>
      <c r="C38" s="34" t="inlineStr">
        <is>
          <t>Explorer Cut / Copy / Paste of files</t>
        </is>
      </c>
      <c r="D38" s="32" t="inlineStr">
        <is>
          <t>Partial</t>
        </is>
      </c>
      <c r="E38" s="32" t="inlineStr">
        <is>
          <t>Medium</t>
        </is>
      </c>
      <c r="F38" s="32" t="inlineStr">
        <is>
          <t>Tests</t>
        </is>
      </c>
      <c r="G38" s="34" t="inlineStr">
        <is>
          <t>Unit-tested; not tried by mouse</t>
        </is>
      </c>
      <c r="H38" s="33" t="n"/>
      <c r="I38" s="35" t="n">
        <v>46325</v>
      </c>
    </row>
    <row r="39">
      <c r="A39" s="32" t="inlineStr">
        <is>
          <t>F-038</t>
        </is>
      </c>
      <c r="B39" s="33" t="inlineStr">
        <is>
          <t>Workbench</t>
        </is>
      </c>
      <c r="C39" s="34" t="inlineStr">
        <is>
          <t>Open to the Side</t>
        </is>
      </c>
      <c r="D39" s="32" t="inlineStr">
        <is>
          <t>Done</t>
        </is>
      </c>
      <c r="E39" s="32" t="n"/>
      <c r="F39" s="32" t="inlineStr">
        <is>
          <t>App</t>
        </is>
      </c>
      <c r="G39" s="34" t="inlineStr">
        <is>
          <t>Ctrl+Enter with the Explorer focused</t>
        </is>
      </c>
      <c r="H39" s="33" t="n"/>
      <c r="I39" s="35" t="n">
        <v>46325</v>
      </c>
    </row>
    <row r="40">
      <c r="A40" s="32" t="inlineStr">
        <is>
          <t>F-039</t>
        </is>
      </c>
      <c r="B40" s="33" t="inlineStr">
        <is>
          <t>Workbench</t>
        </is>
      </c>
      <c r="C40" s="34" t="inlineStr">
        <is>
          <t>Find in Folder</t>
        </is>
      </c>
      <c r="D40" s="32" t="inlineStr">
        <is>
          <t>Done</t>
        </is>
      </c>
      <c r="E40" s="32" t="n"/>
      <c r="F40" s="32" t="inlineStr">
        <is>
          <t>App</t>
        </is>
      </c>
      <c r="G40" s="34" t="n"/>
      <c r="H40" s="33" t="n"/>
      <c r="I40" s="35" t="n">
        <v>46325</v>
      </c>
    </row>
    <row r="41">
      <c r="A41" s="32" t="inlineStr">
        <is>
          <t>F-040</t>
        </is>
      </c>
      <c r="B41" s="33" t="inlineStr">
        <is>
          <t>Workbench</t>
        </is>
      </c>
      <c r="C41" s="34" t="inlineStr">
        <is>
          <t>Tab right-click menu and pinning</t>
        </is>
      </c>
      <c r="D41" s="32" t="inlineStr">
        <is>
          <t>Done</t>
        </is>
      </c>
      <c r="E41" s="32" t="n"/>
      <c r="F41" s="32" t="inlineStr">
        <is>
          <t>App</t>
        </is>
      </c>
      <c r="G41" s="34" t="n"/>
      <c r="H41" s="33" t="n"/>
      <c r="I41" s="35" t="n">
        <v>46325</v>
      </c>
    </row>
    <row r="42">
      <c r="A42" s="32" t="inlineStr">
        <is>
          <t>F-041</t>
        </is>
      </c>
      <c r="B42" s="33" t="inlineStr">
        <is>
          <t>Workbench</t>
        </is>
      </c>
      <c r="C42" s="34" t="inlineStr">
        <is>
          <t>Split editor groups</t>
        </is>
      </c>
      <c r="D42" s="32" t="inlineStr">
        <is>
          <t>Done</t>
        </is>
      </c>
      <c r="E42" s="32" t="n"/>
      <c r="F42" s="32" t="inlineStr">
        <is>
          <t>App</t>
        </is>
      </c>
      <c r="G42" s="34" t="inlineStr">
        <is>
          <t>Two groups</t>
        </is>
      </c>
      <c r="H42" s="33" t="n"/>
      <c r="I42" s="35" t="n">
        <v>46325</v>
      </c>
    </row>
    <row r="43">
      <c r="A43" s="32" t="inlineStr">
        <is>
          <t>F-042</t>
        </is>
      </c>
      <c r="B43" s="33" t="inlineStr">
        <is>
          <t>Workbench</t>
        </is>
      </c>
      <c r="C43" s="34" t="inlineStr">
        <is>
          <t>Settings page</t>
        </is>
      </c>
      <c r="D43" s="32" t="inlineStr">
        <is>
          <t>Done</t>
        </is>
      </c>
      <c r="E43" s="32" t="n"/>
      <c r="F43" s="32" t="inlineStr">
        <is>
          <t>App</t>
        </is>
      </c>
      <c r="G43" s="34" t="n"/>
      <c r="H43" s="33" t="n"/>
      <c r="I43" s="35" t="n">
        <v>46325</v>
      </c>
    </row>
    <row r="44">
      <c r="A44" s="32" t="inlineStr">
        <is>
          <t>F-043</t>
        </is>
      </c>
      <c r="B44" s="33" t="inlineStr">
        <is>
          <t>Workbench</t>
        </is>
      </c>
      <c r="C44" s="34" t="inlineStr">
        <is>
          <t>Resizable and remembered panels</t>
        </is>
      </c>
      <c r="D44" s="32" t="inlineStr">
        <is>
          <t>Done</t>
        </is>
      </c>
      <c r="E44" s="32" t="n"/>
      <c r="F44" s="32" t="inlineStr">
        <is>
          <t>App</t>
        </is>
      </c>
      <c r="G44" s="34" t="n"/>
      <c r="H44" s="33" t="n"/>
      <c r="I44" s="35" t="n">
        <v>46325</v>
      </c>
    </row>
    <row r="45">
      <c r="A45" s="32" t="inlineStr">
        <is>
          <t>F-044</t>
        </is>
      </c>
      <c r="B45" s="33" t="inlineStr">
        <is>
          <t>Workbench</t>
        </is>
      </c>
      <c r="C45" s="34" t="inlineStr">
        <is>
          <t>Session restore (open files and carets)</t>
        </is>
      </c>
      <c r="D45" s="32" t="inlineStr">
        <is>
          <t>Done</t>
        </is>
      </c>
      <c r="E45" s="32" t="n"/>
      <c r="F45" s="32" t="inlineStr">
        <is>
          <t>App</t>
        </is>
      </c>
      <c r="G45" s="34" t="n"/>
      <c r="H45" s="33" t="n"/>
      <c r="I45" s="35" t="n">
        <v>46325</v>
      </c>
    </row>
    <row r="46">
      <c r="A46" s="32" t="inlineStr">
        <is>
          <t>F-045</t>
        </is>
      </c>
      <c r="B46" s="33" t="inlineStr">
        <is>
          <t>Workbench</t>
        </is>
      </c>
      <c r="C46" s="34" t="inlineStr">
        <is>
          <t>Restore unsaved edits after restart</t>
        </is>
      </c>
      <c r="D46" s="32" t="inlineStr">
        <is>
          <t>Not started</t>
        </is>
      </c>
      <c r="E46" s="32" t="inlineStr">
        <is>
          <t>High</t>
        </is>
      </c>
      <c r="F46" s="32" t="n"/>
      <c r="G46" s="34" t="inlineStr">
        <is>
          <t>Hot exit</t>
        </is>
      </c>
      <c r="H46" s="33" t="n"/>
      <c r="I46" s="35" t="n">
        <v>46325</v>
      </c>
    </row>
    <row r="47">
      <c r="A47" s="32" t="inlineStr">
        <is>
          <t>F-046</t>
        </is>
      </c>
      <c r="B47" s="33" t="inlineStr">
        <is>
          <t>Workbench</t>
        </is>
      </c>
      <c r="C47" s="34" t="inlineStr">
        <is>
          <t>Restore the second editor group's tabs</t>
        </is>
      </c>
      <c r="D47" s="32" t="inlineStr">
        <is>
          <t>Not started</t>
        </is>
      </c>
      <c r="E47" s="32" t="inlineStr">
        <is>
          <t>Medium</t>
        </is>
      </c>
      <c r="F47" s="32" t="n"/>
      <c r="G47" s="34" t="n"/>
      <c r="H47" s="33" t="n"/>
      <c r="I47" s="35" t="n">
        <v>46325</v>
      </c>
    </row>
    <row r="48">
      <c r="A48" s="32" t="inlineStr">
        <is>
          <t>F-047</t>
        </is>
      </c>
      <c r="B48" s="33" t="inlineStr">
        <is>
          <t>Workbench</t>
        </is>
      </c>
      <c r="C48" s="34" t="inlineStr">
        <is>
          <t>Drag and drop of tabs</t>
        </is>
      </c>
      <c r="D48" s="32" t="inlineStr">
        <is>
          <t>Not started</t>
        </is>
      </c>
      <c r="E48" s="32" t="inlineStr">
        <is>
          <t>Medium</t>
        </is>
      </c>
      <c r="F48" s="32" t="n"/>
      <c r="G48" s="34" t="inlineStr">
        <is>
          <t>Files and folders in the Explorer can be dragged (F-097); tabs cannot</t>
        </is>
      </c>
      <c r="H48" s="33" t="n"/>
      <c r="I48" s="35" t="n">
        <v>46325</v>
      </c>
    </row>
    <row r="49" ht="28.5" customHeight="1">
      <c r="A49" s="32" t="inlineStr">
        <is>
          <t>F-048</t>
        </is>
      </c>
      <c r="B49" s="33" t="inlineStr">
        <is>
          <t>Workbench</t>
        </is>
      </c>
      <c r="C49" s="34" t="inlineStr">
        <is>
          <t>Multi-root workspaces</t>
        </is>
      </c>
      <c r="D49" s="32" t="inlineStr">
        <is>
          <t>Not started</t>
        </is>
      </c>
      <c r="E49" s="32" t="inlineStr">
        <is>
          <t>Medium</t>
        </is>
      </c>
      <c r="F49" s="32" t="n"/>
      <c r="G49" s="34" t="inlineStr">
        <is>
          <t>Large architectural change; also needed for Add/Remove Folder from Workspace</t>
        </is>
      </c>
      <c r="H49" s="33" t="n"/>
      <c r="I49" s="35" t="n">
        <v>46325</v>
      </c>
    </row>
    <row r="50">
      <c r="A50" s="32" t="inlineStr">
        <is>
          <t>F-049</t>
        </is>
      </c>
      <c r="B50" s="33" t="inlineStr">
        <is>
          <t>Workbench</t>
        </is>
      </c>
      <c r="C50" s="34" t="inlineStr">
        <is>
          <t>Image viewer</t>
        </is>
      </c>
      <c r="D50" s="32" t="inlineStr">
        <is>
          <t>Done</t>
        </is>
      </c>
      <c r="E50" s="32" t="n"/>
      <c r="F50" s="32" t="inlineStr">
        <is>
          <t>App</t>
        </is>
      </c>
      <c r="G50" s="34" t="inlineStr">
        <is>
          <t>PNG JPEG GIF BMP WebP ICO</t>
        </is>
      </c>
      <c r="H50" s="33" t="n"/>
      <c r="I50" s="35" t="n">
        <v>46325</v>
      </c>
    </row>
    <row r="51">
      <c r="A51" s="32" t="inlineStr">
        <is>
          <t>F-050</t>
        </is>
      </c>
      <c r="B51" s="33" t="inlineStr">
        <is>
          <t>Workbench</t>
        </is>
      </c>
      <c r="C51" s="34" t="inlineStr">
        <is>
          <t>Hex view for binary files</t>
        </is>
      </c>
      <c r="D51" s="32" t="inlineStr">
        <is>
          <t>Done</t>
        </is>
      </c>
      <c r="E51" s="32" t="n"/>
      <c r="F51" s="32" t="inlineStr">
        <is>
          <t>App</t>
        </is>
      </c>
      <c r="G51" s="34" t="inlineStr">
        <is>
          <t>Read-only; first 256 KiB</t>
        </is>
      </c>
      <c r="H51" s="33" t="n"/>
      <c r="I51" s="35" t="n">
        <v>46325</v>
      </c>
    </row>
    <row r="52" ht="28.5" customHeight="1">
      <c r="A52" s="32" t="inlineStr">
        <is>
          <t>F-051</t>
        </is>
      </c>
      <c r="B52" s="33" t="inlineStr">
        <is>
          <t>Workbench</t>
        </is>
      </c>
      <c r="C52" s="34" t="inlineStr">
        <is>
          <t>Explorer menu: Share / Open Changes / Open on Remote / Timeline / Add to Chat</t>
        </is>
      </c>
      <c r="D52" s="32" t="inlineStr">
        <is>
          <t>Not started</t>
        </is>
      </c>
      <c r="E52" s="32" t="inlineStr">
        <is>
          <t>Low</t>
        </is>
      </c>
      <c r="F52" s="32" t="n"/>
      <c r="G52" s="34" t="inlineStr">
        <is>
          <t>Need remote links and chat features that Forge does not have</t>
        </is>
      </c>
      <c r="H52" s="33" t="n"/>
      <c r="I52" s="35" t="n">
        <v>46325</v>
      </c>
    </row>
    <row r="53">
      <c r="A53" s="32" t="inlineStr">
        <is>
          <t>F-052</t>
        </is>
      </c>
      <c r="B53" s="33" t="inlineStr">
        <is>
          <t>Workbench</t>
        </is>
      </c>
      <c r="C53" s="34" t="inlineStr">
        <is>
          <t>Exit with unsaved changes warning</t>
        </is>
      </c>
      <c r="D53" s="32" t="inlineStr">
        <is>
          <t>Partial</t>
        </is>
      </c>
      <c r="E53" s="32" t="inlineStr">
        <is>
          <t>Low</t>
        </is>
      </c>
      <c r="F53" s="32" t="inlineStr">
        <is>
          <t>Not verified</t>
        </is>
      </c>
      <c r="G53" s="34" t="inlineStr">
        <is>
          <t>Asks once; second Exit discards</t>
        </is>
      </c>
      <c r="H53" s="33" t="n"/>
      <c r="I53" s="35" t="n">
        <v>46325</v>
      </c>
    </row>
    <row r="54">
      <c r="A54" s="32" t="inlineStr">
        <is>
          <t>F-053</t>
        </is>
      </c>
      <c r="B54" s="33" t="inlineStr">
        <is>
          <t>Terminal</t>
        </is>
      </c>
      <c r="C54" s="34" t="inlineStr">
        <is>
          <t>Integrated terminal with several tabs</t>
        </is>
      </c>
      <c r="D54" s="32" t="inlineStr">
        <is>
          <t>Done</t>
        </is>
      </c>
      <c r="E54" s="32" t="n"/>
      <c r="F54" s="32" t="inlineStr">
        <is>
          <t>App</t>
        </is>
      </c>
      <c r="G54" s="34" t="n"/>
      <c r="H54" s="33" t="n"/>
      <c r="I54" s="35" t="n">
        <v>46325</v>
      </c>
    </row>
    <row r="55">
      <c r="A55" s="32" t="inlineStr">
        <is>
          <t>F-054</t>
        </is>
      </c>
      <c r="B55" s="33" t="inlineStr">
        <is>
          <t>Terminal</t>
        </is>
      </c>
      <c r="C55" s="34" t="inlineStr">
        <is>
          <t>5000 lines of scrollback</t>
        </is>
      </c>
      <c r="D55" s="32" t="inlineStr">
        <is>
          <t>Done</t>
        </is>
      </c>
      <c r="E55" s="32" t="n"/>
      <c r="F55" s="32" t="inlineStr">
        <is>
          <t>App</t>
        </is>
      </c>
      <c r="G55" s="34" t="n"/>
      <c r="H55" s="33" t="n"/>
      <c r="I55" s="35" t="n">
        <v>46325</v>
      </c>
    </row>
    <row r="56">
      <c r="A56" s="32" t="inlineStr">
        <is>
          <t>F-055</t>
        </is>
      </c>
      <c r="B56" s="33" t="inlineStr">
        <is>
          <t>Terminal</t>
        </is>
      </c>
      <c r="C56" s="34" t="inlineStr">
        <is>
          <t>Open terminal in a folder</t>
        </is>
      </c>
      <c r="D56" s="32" t="inlineStr">
        <is>
          <t>Done</t>
        </is>
      </c>
      <c r="E56" s="32" t="n"/>
      <c r="F56" s="32" t="inlineStr">
        <is>
          <t>App</t>
        </is>
      </c>
      <c r="G56" s="34" t="n"/>
      <c r="H56" s="33" t="n"/>
      <c r="I56" s="35" t="n">
        <v>46325</v>
      </c>
    </row>
    <row r="57">
      <c r="A57" s="32" t="inlineStr">
        <is>
          <t>F-056</t>
        </is>
      </c>
      <c r="B57" s="33" t="inlineStr">
        <is>
          <t>Language servers</t>
        </is>
      </c>
      <c r="C57" s="34" t="inlineStr">
        <is>
          <t>Completion, hover, signature help</t>
        </is>
      </c>
      <c r="D57" s="32" t="inlineStr">
        <is>
          <t>Done</t>
        </is>
      </c>
      <c r="E57" s="32" t="n"/>
      <c r="F57" s="32" t="inlineStr">
        <is>
          <t>App</t>
        </is>
      </c>
      <c r="G57" s="34" t="n"/>
      <c r="H57" s="33" t="n"/>
      <c r="I57" s="35" t="n">
        <v>46325</v>
      </c>
    </row>
    <row r="58">
      <c r="A58" s="32" t="inlineStr">
        <is>
          <t>F-057</t>
        </is>
      </c>
      <c r="B58" s="33" t="inlineStr">
        <is>
          <t>Language servers</t>
        </is>
      </c>
      <c r="C58" s="34" t="inlineStr">
        <is>
          <t>Go to definition, references, rename, quick fix</t>
        </is>
      </c>
      <c r="D58" s="32" t="inlineStr">
        <is>
          <t>Done</t>
        </is>
      </c>
      <c r="E58" s="32" t="n"/>
      <c r="F58" s="32" t="inlineStr">
        <is>
          <t>App</t>
        </is>
      </c>
      <c r="G58" s="34" t="n"/>
      <c r="H58" s="33" t="n"/>
      <c r="I58" s="35" t="n">
        <v>46325</v>
      </c>
    </row>
    <row r="59">
      <c r="A59" s="32" t="inlineStr">
        <is>
          <t>F-058</t>
        </is>
      </c>
      <c r="B59" s="33" t="inlineStr">
        <is>
          <t>Language servers</t>
        </is>
      </c>
      <c r="C59" s="34" t="inlineStr">
        <is>
          <t>Diagnostics</t>
        </is>
      </c>
      <c r="D59" s="32" t="inlineStr">
        <is>
          <t>Done</t>
        </is>
      </c>
      <c r="E59" s="32" t="n"/>
      <c r="F59" s="32" t="inlineStr">
        <is>
          <t>App</t>
        </is>
      </c>
      <c r="G59" s="34" t="n"/>
      <c r="H59" s="33" t="n"/>
      <c r="I59" s="35" t="n">
        <v>46325</v>
      </c>
    </row>
    <row r="60" ht="28.5" customHeight="1">
      <c r="A60" s="32" t="inlineStr">
        <is>
          <t>F-059</t>
        </is>
      </c>
      <c r="B60" s="33" t="inlineStr">
        <is>
          <t>Language servers</t>
        </is>
      </c>
      <c r="C60" s="34" t="inlineStr">
        <is>
          <t>Servers installed automatically</t>
        </is>
      </c>
      <c r="D60" s="32" t="inlineStr">
        <is>
          <t>Partial</t>
        </is>
      </c>
      <c r="E60" s="32" t="inlineStr">
        <is>
          <t>Low</t>
        </is>
      </c>
      <c r="F60" s="32" t="inlineStr">
        <is>
          <t>App</t>
        </is>
      </c>
      <c r="G60" s="34" t="inlineStr">
        <is>
          <t>Several servers (rust-analyzer gopls clangd jdtls csharp-ls ruby-lsp lua-language-server taplo sqls) must be installed by the user</t>
        </is>
      </c>
      <c r="H60" s="33" t="n"/>
      <c r="I60" s="35" t="n">
        <v>46325</v>
      </c>
    </row>
    <row r="61">
      <c r="A61" s="32" t="inlineStr">
        <is>
          <t>F-060</t>
        </is>
      </c>
      <c r="B61" s="33" t="inlineStr">
        <is>
          <t>Language servers</t>
        </is>
      </c>
      <c r="C61" s="34" t="inlineStr">
        <is>
          <t>Inlay hints</t>
        </is>
      </c>
      <c r="D61" s="32" t="inlineStr">
        <is>
          <t>Not started</t>
        </is>
      </c>
      <c r="E61" s="32" t="inlineStr">
        <is>
          <t>Medium</t>
        </is>
      </c>
      <c r="F61" s="32" t="n"/>
      <c r="G61" s="34" t="n"/>
      <c r="H61" s="33" t="n"/>
      <c r="I61" s="35" t="n">
        <v>46325</v>
      </c>
    </row>
    <row r="62">
      <c r="A62" s="32" t="inlineStr">
        <is>
          <t>F-061</t>
        </is>
      </c>
      <c r="B62" s="33" t="inlineStr">
        <is>
          <t>Language servers</t>
        </is>
      </c>
      <c r="C62" s="34" t="inlineStr">
        <is>
          <t>Semantic highlighting</t>
        </is>
      </c>
      <c r="D62" s="32" t="inlineStr">
        <is>
          <t>Not started</t>
        </is>
      </c>
      <c r="E62" s="32" t="inlineStr">
        <is>
          <t>Medium</t>
        </is>
      </c>
      <c r="F62" s="32" t="n"/>
      <c r="G62" s="34" t="n"/>
      <c r="H62" s="33" t="n"/>
      <c r="I62" s="35" t="n">
        <v>46325</v>
      </c>
    </row>
    <row r="63">
      <c r="A63" s="32" t="inlineStr">
        <is>
          <t>F-062</t>
        </is>
      </c>
      <c r="B63" s="33" t="inlineStr">
        <is>
          <t>Language servers</t>
        </is>
      </c>
      <c r="C63" s="34" t="inlineStr">
        <is>
          <t>Code Lens</t>
        </is>
      </c>
      <c r="D63" s="32" t="inlineStr">
        <is>
          <t>Not started</t>
        </is>
      </c>
      <c r="E63" s="32" t="inlineStr">
        <is>
          <t>Low</t>
        </is>
      </c>
      <c r="F63" s="32" t="n"/>
      <c r="G63" s="34" t="n"/>
      <c r="H63" s="33" t="n"/>
      <c r="I63" s="35" t="n">
        <v>46325</v>
      </c>
    </row>
    <row r="64">
      <c r="A64" s="32" t="inlineStr">
        <is>
          <t>F-063</t>
        </is>
      </c>
      <c r="B64" s="33" t="inlineStr">
        <is>
          <t>Source control</t>
        </is>
      </c>
      <c r="C64" s="34" t="inlineStr">
        <is>
          <t>Stage, commit, push, pull, sync, fetch, stash</t>
        </is>
      </c>
      <c r="D64" s="32" t="inlineStr">
        <is>
          <t>Done</t>
        </is>
      </c>
      <c r="E64" s="32" t="n"/>
      <c r="F64" s="32" t="inlineStr">
        <is>
          <t>App</t>
        </is>
      </c>
      <c r="G64" s="34" t="n"/>
      <c r="H64" s="33" t="n"/>
      <c r="I64" s="35" t="n">
        <v>46325</v>
      </c>
    </row>
    <row r="65">
      <c r="A65" s="32" t="inlineStr">
        <is>
          <t>F-064</t>
        </is>
      </c>
      <c r="B65" s="33" t="inlineStr">
        <is>
          <t>Source control</t>
        </is>
      </c>
      <c r="C65" s="34" t="inlineStr">
        <is>
          <t>Branches, history, blame</t>
        </is>
      </c>
      <c r="D65" s="32" t="inlineStr">
        <is>
          <t>Done</t>
        </is>
      </c>
      <c r="E65" s="32" t="n"/>
      <c r="F65" s="32" t="inlineStr">
        <is>
          <t>App</t>
        </is>
      </c>
      <c r="G65" s="34" t="n"/>
      <c r="H65" s="33" t="n"/>
      <c r="I65" s="35" t="n">
        <v>46325</v>
      </c>
    </row>
    <row r="66" ht="28.5" customHeight="1">
      <c r="A66" s="32" t="inlineStr">
        <is>
          <t>F-065</t>
        </is>
      </c>
      <c r="B66" s="33" t="inlineStr">
        <is>
          <t>Source control</t>
        </is>
      </c>
      <c r="C66" s="34" t="inlineStr">
        <is>
          <t>AI commit messages (OpenAI / Gemini)</t>
        </is>
      </c>
      <c r="D66" s="32" t="inlineStr">
        <is>
          <t>Partial</t>
        </is>
      </c>
      <c r="E66" s="32" t="inlineStr">
        <is>
          <t>Medium</t>
        </is>
      </c>
      <c r="F66" s="32" t="inlineStr">
        <is>
          <t>Tests</t>
        </is>
      </c>
      <c r="G66" s="34" t="inlineStr">
        <is>
          <t>Gemini endpoint reachable; a successful generation with a real key was never tested</t>
        </is>
      </c>
      <c r="H66" s="33" t="n"/>
      <c r="I66" s="35" t="n">
        <v>46325</v>
      </c>
    </row>
    <row r="67">
      <c r="A67" s="32" t="inlineStr">
        <is>
          <t>F-066</t>
        </is>
      </c>
      <c r="B67" s="33" t="inlineStr">
        <is>
          <t>Source control</t>
        </is>
      </c>
      <c r="C67" s="34" t="inlineStr">
        <is>
          <t>Side-by-side diffs</t>
        </is>
      </c>
      <c r="D67" s="32" t="inlineStr">
        <is>
          <t>Done</t>
        </is>
      </c>
      <c r="E67" s="32" t="n"/>
      <c r="F67" s="32" t="inlineStr">
        <is>
          <t>App</t>
        </is>
      </c>
      <c r="G67" s="34" t="n"/>
      <c r="H67" s="33" t="n"/>
      <c r="I67" s="35" t="n">
        <v>46325</v>
      </c>
    </row>
    <row r="68">
      <c r="A68" s="32" t="inlineStr">
        <is>
          <t>F-067</t>
        </is>
      </c>
      <c r="B68" s="33" t="inlineStr">
        <is>
          <t>Source control</t>
        </is>
      </c>
      <c r="C68" s="34" t="inlineStr">
        <is>
          <t>Hunk and line staging (including new files)</t>
        </is>
      </c>
      <c r="D68" s="32" t="inlineStr">
        <is>
          <t>Done</t>
        </is>
      </c>
      <c r="E68" s="32" t="n"/>
      <c r="F68" s="32" t="inlineStr">
        <is>
          <t>App</t>
        </is>
      </c>
      <c r="G68" s="34" t="n"/>
      <c r="H68" s="33" t="n"/>
      <c r="I68" s="35" t="n">
        <v>46325</v>
      </c>
    </row>
    <row r="69">
      <c r="A69" s="32" t="inlineStr">
        <is>
          <t>F-068</t>
        </is>
      </c>
      <c r="B69" s="33" t="inlineStr">
        <is>
          <t>Source control</t>
        </is>
      </c>
      <c r="C69" s="34" t="inlineStr">
        <is>
          <t>Discard hunk / selected lines</t>
        </is>
      </c>
      <c r="D69" s="32" t="inlineStr">
        <is>
          <t>Done</t>
        </is>
      </c>
      <c r="E69" s="32" t="n"/>
      <c r="F69" s="32" t="inlineStr">
        <is>
          <t>App</t>
        </is>
      </c>
      <c r="G69" s="34" t="n"/>
      <c r="H69" s="33" t="n"/>
      <c r="I69" s="35" t="n">
        <v>46325</v>
      </c>
    </row>
    <row r="70">
      <c r="A70" s="32" t="inlineStr">
        <is>
          <t>F-069</t>
        </is>
      </c>
      <c r="B70" s="33" t="inlineStr">
        <is>
          <t>Source control</t>
        </is>
      </c>
      <c r="C70" s="34" t="inlineStr">
        <is>
          <t>Merge-conflict resolution with base column</t>
        </is>
      </c>
      <c r="D70" s="32" t="inlineStr">
        <is>
          <t>Done</t>
        </is>
      </c>
      <c r="E70" s="32" t="n"/>
      <c r="F70" s="32" t="inlineStr">
        <is>
          <t>App</t>
        </is>
      </c>
      <c r="G70" s="34" t="inlineStr">
        <is>
          <t>Base side cannot be accepted or edited</t>
        </is>
      </c>
      <c r="H70" s="33" t="n"/>
      <c r="I70" s="35" t="n">
        <v>46325</v>
      </c>
    </row>
    <row r="71">
      <c r="A71" s="32" t="inlineStr">
        <is>
          <t>F-070</t>
        </is>
      </c>
      <c r="B71" s="33" t="inlineStr">
        <is>
          <t>Source control</t>
        </is>
      </c>
      <c r="C71" s="34" t="inlineStr">
        <is>
          <t>Rebase, merge, continue / skip / abort</t>
        </is>
      </c>
      <c r="D71" s="32" t="inlineStr">
        <is>
          <t>Done</t>
        </is>
      </c>
      <c r="E71" s="32" t="n"/>
      <c r="F71" s="32" t="inlineStr">
        <is>
          <t>App</t>
        </is>
      </c>
      <c r="G71" s="34" t="n"/>
      <c r="H71" s="33" t="n"/>
      <c r="I71" s="35" t="n">
        <v>46325</v>
      </c>
    </row>
    <row r="72">
      <c r="A72" s="32" t="inlineStr">
        <is>
          <t>F-071</t>
        </is>
      </c>
      <c r="B72" s="33" t="inlineStr">
        <is>
          <t>Source control</t>
        </is>
      </c>
      <c r="C72" s="34" t="inlineStr">
        <is>
          <t>Interactive rebase</t>
        </is>
      </c>
      <c r="D72" s="32" t="inlineStr">
        <is>
          <t>Partial</t>
        </is>
      </c>
      <c r="E72" s="32" t="inlineStr">
        <is>
          <t>Low</t>
        </is>
      </c>
      <c r="F72" s="32" t="inlineStr">
        <is>
          <t>App</t>
        </is>
      </c>
      <c r="G72" s="34" t="inlineStr">
        <is>
          <t>No edit or break steps; no --rebase-merges</t>
        </is>
      </c>
      <c r="H72" s="33" t="n"/>
      <c r="I72" s="35" t="n">
        <v>46325</v>
      </c>
    </row>
    <row r="73">
      <c r="A73" s="32" t="inlineStr">
        <is>
          <t>F-072</t>
        </is>
      </c>
      <c r="B73" s="33" t="inlineStr">
        <is>
          <t>Source control</t>
        </is>
      </c>
      <c r="C73" s="34" t="inlineStr">
        <is>
          <t>Cherry-pick and revert</t>
        </is>
      </c>
      <c r="D73" s="32" t="inlineStr">
        <is>
          <t>Done</t>
        </is>
      </c>
      <c r="E73" s="32" t="n"/>
      <c r="F73" s="32" t="inlineStr">
        <is>
          <t>App</t>
        </is>
      </c>
      <c r="G73" s="34" t="n"/>
      <c r="H73" s="33" t="n"/>
      <c r="I73" s="35" t="n">
        <v>46325</v>
      </c>
    </row>
    <row r="74">
      <c r="A74" s="32" t="inlineStr">
        <is>
          <t>F-073</t>
        </is>
      </c>
      <c r="B74" s="33" t="inlineStr">
        <is>
          <t>Source control</t>
        </is>
      </c>
      <c r="C74" s="34" t="inlineStr">
        <is>
          <t>Login and GPG-passphrase prompts</t>
        </is>
      </c>
      <c r="D74" s="32" t="inlineStr">
        <is>
          <t>Done</t>
        </is>
      </c>
      <c r="E74" s="32" t="n"/>
      <c r="F74" s="32" t="inlineStr">
        <is>
          <t>App</t>
        </is>
      </c>
      <c r="G74" s="34" t="inlineStr">
        <is>
          <t>Hardware-token PIN prompts not covered</t>
        </is>
      </c>
      <c r="H74" s="33" t="n"/>
      <c r="I74" s="35" t="n">
        <v>46325</v>
      </c>
    </row>
    <row r="75">
      <c r="A75" s="32" t="inlineStr">
        <is>
          <t>F-074</t>
        </is>
      </c>
      <c r="B75" s="33" t="inlineStr">
        <is>
          <t>Source control</t>
        </is>
      </c>
      <c r="C75" s="34" t="inlineStr">
        <is>
          <t>Cancel a running git operation</t>
        </is>
      </c>
      <c r="D75" s="32" t="inlineStr">
        <is>
          <t>Done</t>
        </is>
      </c>
      <c r="E75" s="32" t="n"/>
      <c r="F75" s="32" t="inlineStr">
        <is>
          <t>App</t>
        </is>
      </c>
      <c r="G75" s="34" t="n"/>
      <c r="H75" s="33" t="n"/>
      <c r="I75" s="35" t="n">
        <v>46325</v>
      </c>
    </row>
    <row r="76">
      <c r="A76" s="32" t="inlineStr">
        <is>
          <t>F-075</t>
        </is>
      </c>
      <c r="B76" s="33" t="inlineStr">
        <is>
          <t>Source control</t>
        </is>
      </c>
      <c r="C76" s="34" t="inlineStr">
        <is>
          <t>Commit graph and file timeline</t>
        </is>
      </c>
      <c r="D76" s="32" t="inlineStr">
        <is>
          <t>Done</t>
        </is>
      </c>
      <c r="E76" s="32" t="n"/>
      <c r="F76" s="32" t="inlineStr">
        <is>
          <t>App</t>
        </is>
      </c>
      <c r="G76" s="34" t="inlineStr">
        <is>
          <t>Latest 400 commits and 12 lanes</t>
        </is>
      </c>
      <c r="H76" s="33" t="n"/>
      <c r="I76" s="35" t="n">
        <v>46325</v>
      </c>
    </row>
    <row r="77" ht="28.5" customHeight="1">
      <c r="A77" s="32" t="inlineStr">
        <is>
          <t>F-076</t>
        </is>
      </c>
      <c r="B77" s="33" t="inlineStr">
        <is>
          <t>Source control</t>
        </is>
      </c>
      <c r="C77" s="34" t="inlineStr">
        <is>
          <t>Submodules and worktrees</t>
        </is>
      </c>
      <c r="D77" s="32" t="inlineStr">
        <is>
          <t>Partial</t>
        </is>
      </c>
      <c r="E77" s="32" t="inlineStr">
        <is>
          <t>Low</t>
        </is>
      </c>
      <c r="F77" s="32" t="inlineStr">
        <is>
          <t>App</t>
        </is>
      </c>
      <c r="G77" s="34" t="inlineStr">
        <is>
          <t>No worktree for a new or remote branch; no per-submodule Source Control view</t>
        </is>
      </c>
      <c r="H77" s="33" t="n"/>
      <c r="I77" s="35" t="n">
        <v>46325</v>
      </c>
    </row>
    <row r="78" ht="28.5" customHeight="1">
      <c r="A78" s="32" t="inlineStr">
        <is>
          <t>F-077</t>
        </is>
      </c>
      <c r="B78" s="33" t="inlineStr">
        <is>
          <t>Source control</t>
        </is>
      </c>
      <c r="C78" s="34" t="inlineStr">
        <is>
          <t>Actions on a commit in the graph (checkout / cherry-pick / branch)</t>
        </is>
      </c>
      <c r="D78" s="32" t="inlineStr">
        <is>
          <t>Not started</t>
        </is>
      </c>
      <c r="E78" s="32" t="inlineStr">
        <is>
          <t>Medium</t>
        </is>
      </c>
      <c r="F78" s="32" t="n"/>
      <c r="G78" s="34" t="n"/>
      <c r="H78" s="33" t="n"/>
      <c r="I78" s="35" t="n">
        <v>46325</v>
      </c>
    </row>
    <row r="79">
      <c r="A79" s="32" t="inlineStr">
        <is>
          <t>F-078</t>
        </is>
      </c>
      <c r="B79" s="33" t="inlineStr">
        <is>
          <t>Source control</t>
        </is>
      </c>
      <c r="C79" s="34" t="inlineStr">
        <is>
          <t>Stash management beyond push and pop</t>
        </is>
      </c>
      <c r="D79" s="32" t="inlineStr">
        <is>
          <t>Not started</t>
        </is>
      </c>
      <c r="E79" s="32" t="inlineStr">
        <is>
          <t>Low</t>
        </is>
      </c>
      <c r="F79" s="32" t="n"/>
      <c r="G79" s="34" t="n"/>
      <c r="H79" s="33" t="n"/>
      <c r="I79" s="35" t="n">
        <v>46325</v>
      </c>
    </row>
    <row r="80">
      <c r="A80" s="32" t="inlineStr">
        <is>
          <t>F-079</t>
        </is>
      </c>
      <c r="B80" s="33" t="inlineStr">
        <is>
          <t>Source control</t>
        </is>
      </c>
      <c r="C80" s="34" t="inlineStr">
        <is>
          <t>File History and Copy Remote File URL from the Explorer</t>
        </is>
      </c>
      <c r="D80" s="32" t="inlineStr">
        <is>
          <t>Done</t>
        </is>
      </c>
      <c r="E80" s="32" t="n"/>
      <c r="F80" s="32" t="inlineStr">
        <is>
          <t>App</t>
        </is>
      </c>
      <c r="G80" s="34" t="inlineStr">
        <is>
          <t>GitHub / GitLab / Bitbucket style remotes</t>
        </is>
      </c>
      <c r="H80" s="33" t="n"/>
      <c r="I80" s="35" t="n">
        <v>46325</v>
      </c>
    </row>
    <row r="81">
      <c r="A81" s="32" t="inlineStr">
        <is>
          <t>F-080</t>
        </is>
      </c>
      <c r="B81" s="33" t="inlineStr">
        <is>
          <t>Debugging</t>
        </is>
      </c>
      <c r="C81" s="34" t="inlineStr">
        <is>
          <t>Python debugging (debugpy)</t>
        </is>
      </c>
      <c r="D81" s="32" t="inlineStr">
        <is>
          <t>Done</t>
        </is>
      </c>
      <c r="E81" s="32" t="n"/>
      <c r="F81" s="32" t="inlineStr">
        <is>
          <t>App</t>
        </is>
      </c>
      <c r="G81" s="34" t="n"/>
      <c r="H81" s="33" t="n"/>
      <c r="I81" s="35" t="n">
        <v>46325</v>
      </c>
    </row>
    <row r="82">
      <c r="A82" s="32" t="inlineStr">
        <is>
          <t>F-081</t>
        </is>
      </c>
      <c r="B82" s="33" t="inlineStr">
        <is>
          <t>Debugging</t>
        </is>
      </c>
      <c r="C82" s="34" t="inlineStr">
        <is>
          <t>JavaScript / Node debugging</t>
        </is>
      </c>
      <c r="D82" s="32" t="inlineStr">
        <is>
          <t>Done</t>
        </is>
      </c>
      <c r="E82" s="32" t="n"/>
      <c r="F82" s="32" t="inlineStr">
        <is>
          <t>App</t>
        </is>
      </c>
      <c r="G82" s="34" t="n"/>
      <c r="H82" s="33" t="n"/>
      <c r="I82" s="35" t="n">
        <v>46325</v>
      </c>
    </row>
    <row r="83">
      <c r="A83" s="32" t="inlineStr">
        <is>
          <t>F-082</t>
        </is>
      </c>
      <c r="B83" s="33" t="inlineStr">
        <is>
          <t>Debugging</t>
        </is>
      </c>
      <c r="C83" s="34" t="inlineStr">
        <is>
          <t>Rust debugging (CodeLLDB)</t>
        </is>
      </c>
      <c r="D83" s="32" t="inlineStr">
        <is>
          <t>Done</t>
        </is>
      </c>
      <c r="E83" s="32" t="n"/>
      <c r="F83" s="32" t="inlineStr">
        <is>
          <t>App</t>
        </is>
      </c>
      <c r="G83" s="34" t="n"/>
      <c r="H83" s="33" t="n"/>
      <c r="I83" s="35" t="n">
        <v>46325</v>
      </c>
    </row>
    <row r="84">
      <c r="A84" s="32" t="inlineStr">
        <is>
          <t>F-083</t>
        </is>
      </c>
      <c r="B84" s="33" t="inlineStr">
        <is>
          <t>Debugging</t>
        </is>
      </c>
      <c r="C84" s="34" t="inlineStr">
        <is>
          <t>Conditional breakpoints</t>
        </is>
      </c>
      <c r="D84" s="32" t="inlineStr">
        <is>
          <t>Not started</t>
        </is>
      </c>
      <c r="E84" s="32" t="inlineStr">
        <is>
          <t>Medium</t>
        </is>
      </c>
      <c r="F84" s="32" t="n"/>
      <c r="G84" s="34" t="n"/>
      <c r="H84" s="33" t="n"/>
      <c r="I84" s="35" t="n">
        <v>46325</v>
      </c>
    </row>
    <row r="85">
      <c r="A85" s="32" t="inlineStr">
        <is>
          <t>F-084</t>
        </is>
      </c>
      <c r="B85" s="33" t="inlineStr">
        <is>
          <t>Debugging</t>
        </is>
      </c>
      <c r="C85" s="34" t="inlineStr">
        <is>
          <t>Watch expressions</t>
        </is>
      </c>
      <c r="D85" s="32" t="inlineStr">
        <is>
          <t>Not started</t>
        </is>
      </c>
      <c r="E85" s="32" t="inlineStr">
        <is>
          <t>Medium</t>
        </is>
      </c>
      <c r="F85" s="32" t="n"/>
      <c r="G85" s="34" t="n"/>
      <c r="H85" s="33" t="n"/>
      <c r="I85" s="35" t="n">
        <v>46325</v>
      </c>
    </row>
    <row r="86">
      <c r="A86" s="32" t="inlineStr">
        <is>
          <t>F-085</t>
        </is>
      </c>
      <c r="B86" s="33" t="inlineStr">
        <is>
          <t>Debugging</t>
        </is>
      </c>
      <c r="C86" s="34" t="inlineStr">
        <is>
          <t>More languages</t>
        </is>
      </c>
      <c r="D86" s="32" t="inlineStr">
        <is>
          <t>Not started</t>
        </is>
      </c>
      <c r="E86" s="32" t="inlineStr">
        <is>
          <t>Low</t>
        </is>
      </c>
      <c r="F86" s="32" t="n"/>
      <c r="G86" s="34" t="n"/>
      <c r="H86" s="33" t="n"/>
      <c r="I86" s="35" t="n">
        <v>46325</v>
      </c>
    </row>
    <row r="87">
      <c r="A87" s="32" t="inlineStr">
        <is>
          <t>F-086</t>
        </is>
      </c>
      <c r="B87" s="33" t="inlineStr">
        <is>
          <t>Extensions</t>
        </is>
      </c>
      <c r="C87" s="34" t="inlineStr">
        <is>
          <t>Install from Open VSX (themes, languages, grammars, snippets)</t>
        </is>
      </c>
      <c r="D87" s="32" t="inlineStr">
        <is>
          <t>Done</t>
        </is>
      </c>
      <c r="E87" s="32" t="n"/>
      <c r="F87" s="32" t="inlineStr">
        <is>
          <t>App</t>
        </is>
      </c>
      <c r="G87" s="34" t="n"/>
      <c r="H87" s="33" t="n"/>
      <c r="I87" s="35" t="n">
        <v>46325</v>
      </c>
    </row>
    <row r="88">
      <c r="A88" s="32" t="inlineStr">
        <is>
          <t>F-087</t>
        </is>
      </c>
      <c r="B88" s="33" t="inlineStr">
        <is>
          <t>Extensions</t>
        </is>
      </c>
      <c r="C88" s="34" t="inlineStr">
        <is>
          <t>Partial vscode API for running extension code</t>
        </is>
      </c>
      <c r="D88" s="32" t="inlineStr">
        <is>
          <t>Partial</t>
        </is>
      </c>
      <c r="E88" s="32" t="inlineStr">
        <is>
          <t>Medium</t>
        </is>
      </c>
      <c r="F88" s="32" t="inlineStr">
        <is>
          <t>Tests</t>
        </is>
      </c>
      <c r="G88" s="34" t="inlineStr">
        <is>
          <t>No third-party extension has been run yet</t>
        </is>
      </c>
      <c r="H88" s="33" t="n"/>
      <c r="I88" s="35" t="n">
        <v>46325</v>
      </c>
    </row>
    <row r="89">
      <c r="A89" s="32" t="inlineStr">
        <is>
          <t>F-088</t>
        </is>
      </c>
      <c r="B89" s="33" t="inlineStr">
        <is>
          <t>Extensions</t>
        </is>
      </c>
      <c r="C89" s="34" t="inlineStr">
        <is>
          <t>Webviews, tree views, terminals, notebooks, tasks APIs</t>
        </is>
      </c>
      <c r="D89" s="32" t="inlineStr">
        <is>
          <t>Not started</t>
        </is>
      </c>
      <c r="E89" s="32" t="inlineStr">
        <is>
          <t>Low</t>
        </is>
      </c>
      <c r="F89" s="32" t="n"/>
      <c r="G89" s="34" t="inlineStr">
        <is>
          <t>See docs/EXTENSIONS_PLAN.md</t>
        </is>
      </c>
      <c r="H89" s="33" t="n"/>
      <c r="I89" s="35" t="n">
        <v>46325</v>
      </c>
    </row>
    <row r="90">
      <c r="A90" s="32" t="inlineStr">
        <is>
          <t>F-089</t>
        </is>
      </c>
      <c r="B90" s="33" t="inlineStr">
        <is>
          <t>Extensions</t>
        </is>
      </c>
      <c r="C90" s="34" t="inlineStr">
        <is>
          <t>Language-feature providers from extensions</t>
        </is>
      </c>
      <c r="D90" s="32" t="inlineStr">
        <is>
          <t>Not started</t>
        </is>
      </c>
      <c r="E90" s="32" t="inlineStr">
        <is>
          <t>Low</t>
        </is>
      </c>
      <c r="F90" s="32" t="n"/>
      <c r="G90" s="34" t="n"/>
      <c r="H90" s="33" t="n"/>
      <c r="I90" s="35" t="n">
        <v>46325</v>
      </c>
    </row>
    <row r="91">
      <c r="A91" s="32" t="inlineStr">
        <is>
          <t>F-090</t>
        </is>
      </c>
      <c r="B91" s="33" t="inlineStr">
        <is>
          <t>Text and files</t>
        </is>
      </c>
      <c r="C91" s="34" t="inlineStr">
        <is>
          <t>Non-monospace font layout</t>
        </is>
      </c>
      <c r="D91" s="32" t="inlineStr">
        <is>
          <t>Not started</t>
        </is>
      </c>
      <c r="E91" s="32" t="inlineStr">
        <is>
          <t>Low</t>
        </is>
      </c>
      <c r="F91" s="32" t="n"/>
      <c r="G91" s="34" t="inlineStr">
        <is>
          <t>Layout assumes one cell per character</t>
        </is>
      </c>
      <c r="H91" s="33" t="n"/>
      <c r="I91" s="35" t="n">
        <v>46325</v>
      </c>
    </row>
    <row r="92">
      <c r="A92" s="32" t="inlineStr">
        <is>
          <t>F-091</t>
        </is>
      </c>
      <c r="B92" s="33" t="inlineStr">
        <is>
          <t>Text and files</t>
        </is>
      </c>
      <c r="C92" s="34" t="inlineStr">
        <is>
          <t>Files that are not UTF-8</t>
        </is>
      </c>
      <c r="D92" s="32" t="inlineStr">
        <is>
          <t>Not started</t>
        </is>
      </c>
      <c r="E92" s="32" t="inlineStr">
        <is>
          <t>Low</t>
        </is>
      </c>
      <c r="F92" s="32" t="n"/>
      <c r="G92" s="34" t="inlineStr">
        <is>
          <t>Such files open as a hex dump</t>
        </is>
      </c>
      <c r="H92" s="33" t="n"/>
      <c r="I92" s="35" t="n">
        <v>46325</v>
      </c>
    </row>
    <row r="93">
      <c r="A93" s="32" t="inlineStr">
        <is>
          <t>F-092</t>
        </is>
      </c>
      <c r="B93" s="33" t="inlineStr">
        <is>
          <t>Text and files</t>
        </is>
      </c>
      <c r="C93" s="34" t="inlineStr">
        <is>
          <t>Files over 64 MiB</t>
        </is>
      </c>
      <c r="D93" s="32" t="inlineStr">
        <is>
          <t>Not started</t>
        </is>
      </c>
      <c r="E93" s="32" t="inlineStr">
        <is>
          <t>Low</t>
        </is>
      </c>
      <c r="F93" s="32" t="n"/>
      <c r="G93" s="34" t="n"/>
      <c r="H93" s="33" t="n"/>
      <c r="I93" s="35" t="n">
        <v>46325</v>
      </c>
    </row>
    <row r="94">
      <c r="A94" s="32" t="inlineStr">
        <is>
          <t>F-093</t>
        </is>
      </c>
      <c r="B94" s="33" t="inlineStr">
        <is>
          <t>Highlighting</t>
        </is>
      </c>
      <c r="C94" s="34" t="inlineStr">
        <is>
          <t>29 languages</t>
        </is>
      </c>
      <c r="D94" s="32" t="inlineStr">
        <is>
          <t>Done</t>
        </is>
      </c>
      <c r="E94" s="32" t="n"/>
      <c r="F94" s="32" t="inlineStr">
        <is>
          <t>App</t>
        </is>
      </c>
      <c r="G94" s="34" t="inlineStr">
        <is>
          <t>Skipped above 4 MiB</t>
        </is>
      </c>
      <c r="H94" s="33" t="n"/>
      <c r="I94" s="35" t="n">
        <v>46325</v>
      </c>
    </row>
    <row r="95">
      <c r="A95" s="32" t="inlineStr">
        <is>
          <t>F-094</t>
        </is>
      </c>
      <c r="B95" s="33" t="inlineStr">
        <is>
          <t>Highlighting</t>
        </is>
      </c>
      <c r="C95" s="34" t="inlineStr">
        <is>
          <t>Embedded code (script / style in HTML; fenced Markdown)</t>
        </is>
      </c>
      <c r="D95" s="32" t="inlineStr">
        <is>
          <t>Partial</t>
        </is>
      </c>
      <c r="E95" s="32" t="inlineStr">
        <is>
          <t>Low</t>
        </is>
      </c>
      <c r="F95" s="32" t="inlineStr">
        <is>
          <t>App</t>
        </is>
      </c>
      <c r="G95" s="34" t="inlineStr">
        <is>
          <t>Not above 512 KiB; not in template strings or style attributes</t>
        </is>
      </c>
      <c r="H95" s="33" t="n"/>
      <c r="I95" s="35" t="n">
        <v>46325</v>
      </c>
    </row>
    <row r="96">
      <c r="A96" s="32" t="inlineStr">
        <is>
          <t>F-095</t>
        </is>
      </c>
      <c r="B96" s="33" t="inlineStr">
        <is>
          <t>Packaging</t>
        </is>
      </c>
      <c r="C96" s="34" t="inlineStr">
        <is>
          <t>Windows installer</t>
        </is>
      </c>
      <c r="D96" s="32" t="inlineStr">
        <is>
          <t>Partial</t>
        </is>
      </c>
      <c r="E96" s="32" t="inlineStr">
        <is>
          <t>High</t>
        </is>
      </c>
      <c r="F96" s="32" t="inlineStr">
        <is>
          <t>App</t>
        </is>
      </c>
      <c r="G96" s="34" t="inlineStr">
        <is>
          <t>dist\Forge-Setup-0.1.0.exe was built before the latest changes; rebuild it</t>
        </is>
      </c>
      <c r="H96" s="33" t="n"/>
      <c r="I96" s="35" t="n">
        <v>46325</v>
      </c>
    </row>
    <row r="97">
      <c r="A97" s="32" t="inlineStr">
        <is>
          <t>F-096</t>
        </is>
      </c>
      <c r="B97" s="33" t="inlineStr">
        <is>
          <t>Packaging</t>
        </is>
      </c>
      <c r="C97" s="34" t="inlineStr">
        <is>
          <t>Commit the work to git</t>
        </is>
      </c>
      <c r="D97" s="32" t="inlineStr">
        <is>
          <t>Not started</t>
        </is>
      </c>
      <c r="E97" s="32" t="inlineStr">
        <is>
          <t>High</t>
        </is>
      </c>
      <c r="F97" s="32" t="n"/>
      <c r="G97" s="34" t="inlineStr">
        <is>
          <t>Nothing has been committed</t>
        </is>
      </c>
      <c r="H97" s="33" t="n"/>
      <c r="I97" s="35" t="n">
        <v>46325</v>
      </c>
    </row>
    <row r="98">
      <c r="A98" s="32" t="inlineStr">
        <is>
          <t>F-097</t>
        </is>
      </c>
      <c r="B98" s="33" t="inlineStr">
        <is>
          <t>Workbench</t>
        </is>
      </c>
      <c r="C98" s="34" t="inlineStr">
        <is>
          <t>Drag and drop files and folders in the Explorer (move; Ctrl copies; asks first)</t>
        </is>
      </c>
      <c r="D98" s="32" t="inlineStr">
        <is>
          <t>Done</t>
        </is>
      </c>
      <c r="E98" s="32" t="n"/>
      <c r="F98" s="32" t="inlineStr">
        <is>
          <t>App</t>
        </is>
      </c>
      <c r="G98" s="34" t="inlineStr">
        <is>
          <t>Setting explorer.confirmDragAndDrop; drop on a folder, a file (next to it) or the empty area (project folder)</t>
        </is>
      </c>
      <c r="H98" s="33" t="n"/>
      <c r="I98" s="35" t="n">
        <v>46325</v>
      </c>
    </row>
    <row r="99">
      <c r="A99" s="32" t="inlineStr">
        <is>
          <t>F-098</t>
        </is>
      </c>
      <c r="B99" s="33" t="inlineStr">
        <is>
          <t>Workbench</t>
        </is>
      </c>
      <c r="C99" s="34" t="inlineStr">
        <is>
          <t>Drop files from Windows Explorer into the Explorer (copy)</t>
        </is>
      </c>
      <c r="D99" s="32" t="inlineStr">
        <is>
          <t>Partial</t>
        </is>
      </c>
      <c r="E99" s="32" t="inlineStr">
        <is>
          <t>Medium</t>
        </is>
      </c>
      <c r="F99" s="32" t="inlineStr">
        <is>
          <t>Not verified</t>
        </is>
      </c>
      <c r="G99" s="34" t="inlineStr">
        <is>
          <t>Drop handler is wired up; an OS drag could not be tried in testing</t>
        </is>
      </c>
      <c r="H99" s="33" t="n"/>
      <c r="I99" s="35" t="n">
        <v>46325</v>
      </c>
    </row>
    <row r="100">
      <c r="A100" s="32" t="inlineStr">
        <is>
          <t>F-099</t>
        </is>
      </c>
      <c r="B100" s="33" t="inlineStr">
        <is>
          <t>Workbench</t>
        </is>
      </c>
      <c r="C100" s="34" t="inlineStr">
        <is>
          <t>Open a folder while hovering a drag over it</t>
        </is>
      </c>
      <c r="D100" s="32" t="inlineStr">
        <is>
          <t>Not started</t>
        </is>
      </c>
      <c r="E100" s="32" t="inlineStr">
        <is>
          <t>Low</t>
        </is>
      </c>
      <c r="F100" s="32" t="n"/>
      <c r="G100" s="34" t="inlineStr">
        <is>
          <t>VS Code expands folders after a short hover</t>
        </is>
      </c>
      <c r="H100" s="33" t="n"/>
      <c r="I100" s="35" t="n">
        <v>46325</v>
      </c>
    </row>
    <row r="101">
      <c r="A101" s="32" t="inlineStr">
        <is>
          <t>F-100</t>
        </is>
      </c>
      <c r="B101" s="33" t="inlineStr">
        <is>
          <t>Workbench</t>
        </is>
      </c>
      <c r="C101" s="34" t="inlineStr">
        <is>
          <t>Drag several selected items at once</t>
        </is>
      </c>
      <c r="D101" s="32" t="inlineStr">
        <is>
          <t>Not started</t>
        </is>
      </c>
      <c r="E101" s="32" t="inlineStr">
        <is>
          <t>Low</t>
        </is>
      </c>
      <c r="F101" s="32" t="n"/>
      <c r="G101" s="34" t="inlineStr">
        <is>
          <t>The Explorer has single selection only</t>
        </is>
      </c>
      <c r="H101" s="33" t="n"/>
      <c r="I101" s="35" t="n">
        <v>46325</v>
      </c>
    </row>
    <row r="102">
      <c r="A102" s="32" t="inlineStr">
        <is>
          <t>F-101</t>
        </is>
      </c>
      <c r="B102" s="33" t="inlineStr">
        <is>
          <t>Workbench</t>
        </is>
      </c>
      <c r="C102" s="34" t="inlineStr">
        <is>
          <t>Sans UI font and monospace code font (editor.fontFamily / workbench.fontFamily)</t>
        </is>
      </c>
      <c r="D102" s="32" t="inlineStr">
        <is>
          <t>Done</t>
        </is>
      </c>
      <c r="E102" s="32" t="n"/>
      <c r="F102" s="32" t="inlineStr">
        <is>
          <t>App</t>
        </is>
      </c>
      <c r="G102" s="34" t="inlineStr">
        <is>
          <t>Cascadia Mono / Segoe UI by default; no font files are bundled</t>
        </is>
      </c>
      <c r="H102" s="33" t="n"/>
      <c r="I102" s="35" t="n">
        <v>46325</v>
      </c>
    </row>
    <row r="103">
      <c r="A103" s="32" t="inlineStr">
        <is>
          <t>F-102</t>
        </is>
      </c>
      <c r="B103" s="33" t="inlineStr">
        <is>
          <t>Workbench</t>
        </is>
      </c>
      <c r="C103" s="34" t="inlineStr">
        <is>
          <t>Codicon file and folder icons in the Explorer, tabs and Git lists</t>
        </is>
      </c>
      <c r="D103" s="32" t="inlineStr">
        <is>
          <t>Done</t>
        </is>
      </c>
      <c r="E103" s="32" t="n"/>
      <c r="F103" s="32" t="inlineStr">
        <is>
          <t>App</t>
        </is>
      </c>
      <c r="G103" s="34" t="inlineStr">
        <is>
          <t>Extension icon themes still take over when chosen</t>
        </is>
      </c>
      <c r="H103" s="33" t="n"/>
      <c r="I103" s="35" t="n">
        <v>46325</v>
      </c>
    </row>
    <row r="104">
      <c r="A104" s="32" t="inlineStr">
        <is>
          <t>F-103</t>
        </is>
      </c>
      <c r="B104" s="33" t="inlineStr">
        <is>
          <t>Workbench</t>
        </is>
      </c>
      <c r="C104" s="34" t="inlineStr">
        <is>
          <t>Bundled UI and code fonts (so the look is the same on every PC)</t>
        </is>
      </c>
      <c r="D104" s="32" t="inlineStr">
        <is>
          <t>Not started</t>
        </is>
      </c>
      <c r="E104" s="32" t="inlineStr">
        <is>
          <t>Low</t>
        </is>
      </c>
      <c r="F104" s="32" t="n"/>
      <c r="G104" s="34" t="inlineStr">
        <is>
          <t>Needs font files with a licence that allows it, e.g. Inter and JetBrains Mono (OFL)</t>
        </is>
      </c>
      <c r="H104" s="33" t="n"/>
      <c r="I104" s="35" t="n">
        <v>46325</v>
      </c>
    </row>
    <row r="105">
      <c r="A105" s="32" t="inlineStr">
        <is>
          <t>F-104</t>
        </is>
      </c>
      <c r="B105" s="33" t="inlineStr">
        <is>
          <t>Editing</t>
        </is>
      </c>
      <c r="C105" s="34" t="inlineStr">
        <is>
          <t>Snippet suggestions in the completion popup (editor.snippetSuggestions)</t>
        </is>
      </c>
      <c r="D105" s="32" t="inlineStr">
        <is>
          <t>Done</t>
        </is>
      </c>
      <c r="E105" s="32" t="n"/>
      <c r="F105" s="32" t="inlineStr">
        <is>
          <t>App</t>
        </is>
      </c>
      <c r="G105" s="34" t="n"/>
      <c r="H105" s="33" t="n"/>
      <c r="I105" s="35" t="n">
        <v>46325</v>
      </c>
    </row>
    <row r="106">
      <c r="A106" s="32" t="inlineStr">
        <is>
          <t>F-105</t>
        </is>
      </c>
      <c r="B106" s="33" t="inlineStr">
        <is>
          <t>Editing</t>
        </is>
      </c>
      <c r="C106" s="34" t="inlineStr">
        <is>
          <t>Snippet choices dropdown (${1|a,b|})</t>
        </is>
      </c>
      <c r="D106" s="32" t="inlineStr">
        <is>
          <t>Done</t>
        </is>
      </c>
      <c r="E106" s="32" t="n"/>
      <c r="F106" s="32" t="inlineStr">
        <is>
          <t>App</t>
        </is>
      </c>
      <c r="G106" s="34" t="inlineStr">
        <is>
          <t>Arrows then Enter/Tab</t>
        </is>
      </c>
      <c r="H106" s="33" t="n"/>
      <c r="I106" s="35" t="n">
        <v>46325</v>
      </c>
    </row>
    <row r="107">
      <c r="A107" s="32" t="inlineStr">
        <is>
          <t>F-106</t>
        </is>
      </c>
      <c r="B107" s="33" t="inlineStr">
        <is>
          <t>Editing</t>
        </is>
      </c>
      <c r="C107" s="34" t="inlineStr">
        <is>
          <t>Snippet variables (clipboard, file, line, local date and time, UUID, RANDOM...)</t>
        </is>
      </c>
      <c r="D107" s="32" t="inlineStr">
        <is>
          <t>Done</t>
        </is>
      </c>
      <c r="E107" s="32" t="n"/>
      <c r="F107" s="32" t="inlineStr">
        <is>
          <t>App</t>
        </is>
      </c>
      <c r="G107" s="34" t="inlineStr">
        <is>
          <t>Unit-tested; all standard variables</t>
        </is>
      </c>
      <c r="H107" s="33" t="n"/>
      <c r="I107" s="35" t="n">
        <v>46325</v>
      </c>
    </row>
    <row r="108">
      <c r="A108" s="32" t="inlineStr">
        <is>
          <t>F-107</t>
        </is>
      </c>
      <c r="B108" s="33" t="inlineStr">
        <is>
          <t>Editing</t>
        </is>
      </c>
      <c r="C108" s="34" t="inlineStr">
        <is>
          <t>Snippet transforms (${VAR/regex/format/opts})</t>
        </is>
      </c>
      <c r="D108" s="32" t="inlineStr">
        <is>
          <t>Partial</t>
        </is>
      </c>
      <c r="E108" s="32" t="inlineStr">
        <is>
          <t>Low</t>
        </is>
      </c>
      <c r="F108" s="32" t="inlineStr">
        <is>
          <t>Tests</t>
        </is>
      </c>
      <c r="G108" s="34" t="inlineStr">
        <is>
          <t>Worked out once at insertion; not live as you type</t>
        </is>
      </c>
      <c r="H108" s="33" t="n"/>
      <c r="I108" s="35" t="n">
        <v>46325</v>
      </c>
    </row>
    <row r="109">
      <c r="A109" s="32" t="inlineStr">
        <is>
          <t>F-108</t>
        </is>
      </c>
      <c r="B109" s="33" t="inlineStr">
        <is>
          <t>Editing</t>
        </is>
      </c>
      <c r="C109" s="34" t="inlineStr">
        <is>
          <t>Configure User Snippets (create per-language / global files, reload on save)</t>
        </is>
      </c>
      <c r="D109" s="32" t="inlineStr">
        <is>
          <t>Done</t>
        </is>
      </c>
      <c r="E109" s="32" t="n"/>
      <c r="F109" s="32" t="inlineStr">
        <is>
          <t>App</t>
        </is>
      </c>
      <c r="G109" s="34" t="n"/>
      <c r="H109" s="33" t="n"/>
      <c r="I109" s="35" t="n">
        <v>46325</v>
      </c>
    </row>
    <row r="110">
      <c r="A110" s="32" t="inlineStr">
        <is>
          <t>F-109</t>
        </is>
      </c>
      <c r="B110" s="33" t="inlineStr">
        <is>
          <t>Editing</t>
        </is>
      </c>
      <c r="C110" s="34" t="inlineStr">
        <is>
          <t>Snippet tab-stop transforms that follow typing</t>
        </is>
      </c>
      <c r="D110" s="32" t="inlineStr">
        <is>
          <t>Not started</t>
        </is>
      </c>
      <c r="E110" s="32" t="inlineStr">
        <is>
          <t>Low</t>
        </is>
      </c>
      <c r="F110" s="32" t="n"/>
      <c r="G110" s="34" t="n"/>
      <c r="H110" s="33" t="n"/>
      <c r="I110" s="35" t="n">
        <v>46325</v>
      </c>
    </row>
    <row r="111">
      <c r="A111" s="32" t="inlineStr">
        <is>
          <t>F-110</t>
        </is>
      </c>
      <c r="B111" s="33" t="inlineStr">
        <is>
          <t>Editing</t>
        </is>
      </c>
      <c r="C111" s="34" t="inlineStr">
        <is>
          <t>Expand language-server snippet-format completions</t>
        </is>
      </c>
      <c r="D111" s="32" t="inlineStr">
        <is>
          <t>Not started</t>
        </is>
      </c>
      <c r="E111" s="32" t="inlineStr">
        <is>
          <t>Medium</t>
        </is>
      </c>
      <c r="F111" s="32" t="n"/>
      <c r="G111" s="34" t="inlineStr">
        <is>
          <t>Servers are told snippets are not supported, so they send plain text</t>
        </is>
      </c>
      <c r="H111" s="33" t="n"/>
      <c r="I111" s="35" t="n">
        <v>46325</v>
      </c>
    </row>
    <row r="112">
      <c r="A112" s="32" t="inlineStr">
        <is>
          <t>F-111</t>
        </is>
      </c>
      <c r="B112" s="33" t="inlineStr">
        <is>
          <t>Editing</t>
        </is>
      </c>
      <c r="C112" s="34" t="inlineStr">
        <is>
          <t>Built-in snippets for every language (about 290; editor.builtInSnippets)</t>
        </is>
      </c>
      <c r="D112" s="32" t="inlineStr">
        <is>
          <t>Done</t>
        </is>
      </c>
      <c r="E112" s="32" t="n"/>
      <c r="F112" s="32" t="inlineStr">
        <is>
          <t>App</t>
        </is>
      </c>
      <c r="G112" s="34" t="inlineStr">
        <is>
          <t>Rust, Python, JS/TS/React, HTML, CSS, Go, C/C++, Java, C#, PHP, Ruby, Lua, SQL, shell, YAML, TOML, JSON, Dockerfile, Makefile, Markdown and all-language ones</t>
        </is>
      </c>
      <c r="H112" s="33" t="n"/>
      <c r="I112" s="35" t="n">
        <v>46325</v>
      </c>
    </row>
    <row r="113">
      <c r="A113" s="32" t="inlineStr">
        <is>
          <t>F-112</t>
        </is>
      </c>
      <c r="B113" s="33" t="inlineStr">
        <is>
          <t>Editing</t>
        </is>
      </c>
      <c r="C113" s="34" t="inlineStr">
        <is>
          <t>Auto closing tags (HTML, XML, JSX, TSX)</t>
        </is>
      </c>
      <c r="D113" s="32" t="inlineStr">
        <is>
          <t>Done</t>
        </is>
      </c>
      <c r="E113" s="32" t="n"/>
      <c r="F113" s="32" t="inlineStr">
        <is>
          <t>App</t>
        </is>
      </c>
      <c r="G113" s="34" t="inlineStr">
        <is>
          <t>Typing &gt; and &lt;/</t>
        </is>
      </c>
      <c r="H113" s="33" t="n"/>
      <c r="I113" s="35" t="n">
        <v>46325</v>
      </c>
    </row>
    <row r="114">
      <c r="A114" s="32" t="inlineStr">
        <is>
          <t>F-113</t>
        </is>
      </c>
      <c r="B114" s="33" t="inlineStr">
        <is>
          <t>Editing</t>
        </is>
      </c>
      <c r="C114" s="34" t="inlineStr">
        <is>
          <t>Bracket pair colorization</t>
        </is>
      </c>
      <c r="D114" s="32" t="inlineStr">
        <is>
          <t>Done</t>
        </is>
      </c>
      <c r="E114" s="32" t="n"/>
      <c r="F114" s="32" t="inlineStr">
        <is>
          <t>App</t>
        </is>
      </c>
      <c r="G114" s="34" t="inlineStr">
        <is>
          <t>Skips strings and line comments; block comments can confuse it</t>
        </is>
      </c>
      <c r="H114" s="33" t="n"/>
      <c r="I114" s="35" t="n">
        <v>46325</v>
      </c>
    </row>
    <row r="115">
      <c r="A115" s="32" t="inlineStr">
        <is>
          <t>F-114</t>
        </is>
      </c>
      <c r="B115" s="33" t="inlineStr">
        <is>
          <t>Editing</t>
        </is>
      </c>
      <c r="C115" s="34" t="inlineStr">
        <is>
          <t>Word-based suggestions without a language server</t>
        </is>
      </c>
      <c r="D115" s="32" t="inlineStr">
        <is>
          <t>Done</t>
        </is>
      </c>
      <c r="E115" s="32" t="n"/>
      <c r="F115" s="32" t="inlineStr">
        <is>
          <t>App</t>
        </is>
      </c>
      <c r="G115" s="34" t="n"/>
      <c r="H115" s="33" t="n"/>
      <c r="I115" s="35" t="n">
        <v>46325</v>
      </c>
    </row>
    <row r="116">
      <c r="A116" s="32" t="inlineStr">
        <is>
          <t>F-115</t>
        </is>
      </c>
      <c r="B116" s="33" t="inlineStr">
        <is>
          <t>Editing</t>
        </is>
      </c>
      <c r="C116" s="34" t="inlineStr">
        <is>
          <t>Emmet filters, lorem and the rarer CSS abbreviations</t>
        </is>
      </c>
      <c r="D116" s="32" t="inlineStr">
        <is>
          <t>Not started</t>
        </is>
      </c>
      <c r="E116" s="32" t="inlineStr">
        <is>
          <t>Low</t>
        </is>
      </c>
      <c r="F116" s="32" t="n"/>
      <c r="G116" s="34" t="n"/>
      <c r="H116" s="33" t="n"/>
      <c r="I116" s="35" t="n">
        <v>46325</v>
      </c>
    </row>
    <row r="117">
      <c r="A117" s="32" t="inlineStr">
        <is>
          <t>F-116</t>
        </is>
      </c>
      <c r="B117" s="33" t="inlineStr">
        <is>
          <t>Editing</t>
        </is>
      </c>
      <c r="C117" s="34" t="inlineStr">
        <is>
          <t>Auto closing tags for Vue / Svelte / PHP files</t>
        </is>
      </c>
      <c r="D117" s="32" t="inlineStr">
        <is>
          <t>Partial</t>
        </is>
      </c>
      <c r="E117" s="32" t="inlineStr">
        <is>
          <t>Low</t>
        </is>
      </c>
      <c r="F117" s="32" t="inlineStr">
        <is>
          <t>Not verified</t>
        </is>
      </c>
      <c r="G117" s="34" t="inlineStr">
        <is>
          <t>Works when an extension names the language vue, svelte, astro, handlebars or razor; never tried with one</t>
        </is>
      </c>
      <c r="H117" s="33" t="n"/>
      <c r="I117" s="35" t="n">
        <v>46325</v>
      </c>
    </row>
    <row r="118">
      <c r="A118" s="32" t="inlineStr">
        <is>
          <t>F-117</t>
        </is>
      </c>
      <c r="B118" s="33" t="inlineStr">
        <is>
          <t>Editing</t>
        </is>
      </c>
      <c r="C118" s="34" t="inlineStr">
        <is>
          <t>Horizontal scrolling of long lines (wheel, Shift+wheel, caret reveal)</t>
        </is>
      </c>
      <c r="D118" s="32" t="inlineStr">
        <is>
          <t>Done</t>
        </is>
      </c>
      <c r="E118" s="32" t="n"/>
      <c r="F118" s="32" t="inlineStr">
        <is>
          <t>App</t>
        </is>
      </c>
      <c r="G118" s="34" t="inlineStr">
        <is>
          <t>No horizontal scroll bar is drawn; word wrap on turns it off</t>
        </is>
      </c>
      <c r="H118" s="33" t="n"/>
      <c r="I118" s="35" t="n">
        <v>46325</v>
      </c>
    </row>
    <row r="119">
      <c r="A119" s="32" t="inlineStr">
        <is>
          <t>F-118</t>
        </is>
      </c>
      <c r="B119" s="33" t="inlineStr">
        <is>
          <t>Workbench</t>
        </is>
      </c>
      <c r="C119" s="34" t="inlineStr">
        <is>
          <t>Scrolling the tab strip with the wheel when many tabs are open</t>
        </is>
      </c>
      <c r="D119" s="32" t="inlineStr">
        <is>
          <t>Done</t>
        </is>
      </c>
      <c r="E119" s="32" t="n"/>
      <c r="F119" s="32" t="inlineStr">
        <is>
          <t>App</t>
        </is>
      </c>
      <c r="G119" s="34" t="inlineStr">
        <is>
          <t>The active tab is brought into view when it changes</t>
        </is>
      </c>
      <c r="H119" s="33" t="n"/>
      <c r="I119" s="35" t="n">
        <v>46325</v>
      </c>
    </row>
    <row r="120">
      <c r="A120" s="32" t="inlineStr">
        <is>
          <t>F-119</t>
        </is>
      </c>
      <c r="B120" s="33" t="inlineStr">
        <is>
          <t>Source control</t>
        </is>
      </c>
      <c r="C120" s="34" t="inlineStr">
        <is>
          <t>Horizontal scrolling in the side-by-side diff (both columns together)</t>
        </is>
      </c>
      <c r="D120" s="32" t="inlineStr">
        <is>
          <t>Done</t>
        </is>
      </c>
      <c r="E120" s="32" t="n"/>
      <c r="F120" s="32" t="inlineStr">
        <is>
          <t>App</t>
        </is>
      </c>
      <c r="G120" s="34" t="inlineStr">
        <is>
          <t>Wheel or Shift+wheel; the inline diff is an editor and scrolls like one</t>
        </is>
      </c>
      <c r="H120" s="33" t="n"/>
      <c r="I120" s="35" t="n">
        <v>46325</v>
      </c>
    </row>
    <row r="121">
      <c r="A121" s="32" t="inlineStr">
        <is>
          <t>F-120</t>
        </is>
      </c>
      <c r="B121" s="33" t="inlineStr">
        <is>
          <t>Editing</t>
        </is>
      </c>
      <c r="C121" s="34" t="inlineStr">
        <is>
          <t>A horizontal scroll bar and dragging to scroll sideways</t>
        </is>
      </c>
      <c r="D121" s="32" t="inlineStr">
        <is>
          <t>Not started</t>
        </is>
      </c>
      <c r="E121" s="32" t="inlineStr">
        <is>
          <t>Low</t>
        </is>
      </c>
      <c r="F121" s="32" t="n"/>
      <c r="G121" s="34" t="n"/>
      <c r="H121" s="33" t="n"/>
      <c r="I121" s="35" t="n">
        <v>46325</v>
      </c>
    </row>
    <row r="122">
      <c r="A122" s="32" t="inlineStr">
        <is>
          <t>F-121</t>
        </is>
      </c>
      <c r="B122" s="33" t="inlineStr">
        <is>
          <t>Workbench</t>
        </is>
      </c>
      <c r="C122" s="34" t="inlineStr">
        <is>
          <t>Full-page Markdown preview that replaces the source (Ctrl+Shift+V)</t>
        </is>
      </c>
      <c r="D122" s="32" t="inlineStr">
        <is>
          <t>Done</t>
        </is>
      </c>
      <c r="E122" s="32" t="n"/>
      <c r="F122" s="32" t="inlineStr">
        <is>
          <t>App</t>
        </is>
      </c>
      <c r="G122" s="34" t="inlineStr">
        <is>
          <t>Editing is blocked while it shows</t>
        </is>
      </c>
      <c r="H122" s="33" t="n"/>
      <c r="I122" s="35" t="n">
        <v>46325</v>
      </c>
    </row>
    <row r="123">
      <c r="A123" s="32" t="inlineStr">
        <is>
          <t>F-122</t>
        </is>
      </c>
      <c r="B123" s="33" t="inlineStr">
        <is>
          <t>Workbench</t>
        </is>
      </c>
      <c r="C123" s="34" t="inlineStr">
        <is>
          <t>Markdown preview: headings anchors, raw HTML blocks (e.g. centred images) and task-list checkboxes</t>
        </is>
      </c>
      <c r="D123" s="32" t="inlineStr">
        <is>
          <t>Not started</t>
        </is>
      </c>
      <c r="E123" s="32" t="inlineStr">
        <is>
          <t>Low</t>
        </is>
      </c>
      <c r="F123" s="32" t="n"/>
      <c r="G123" s="34" t="inlineStr">
        <is>
          <t>Links to a heading in the same page are not supported; HTML like &lt;p align&gt; shows as text</t>
        </is>
      </c>
      <c r="H123" s="33" t="n"/>
      <c r="I123" s="35" t="n">
        <v>46325</v>
      </c>
    </row>
    <row r="124">
      <c r="A124" s="32" t="inlineStr">
        <is>
          <t>F-123</t>
        </is>
      </c>
      <c r="B124" s="33" t="inlineStr">
        <is>
          <t>Workbench</t>
        </is>
      </c>
      <c r="C124" s="34" t="inlineStr">
        <is>
          <t>CSV / TSV preview as a table (Ctrl+Shift+V)</t>
        </is>
      </c>
      <c r="D124" s="32" t="inlineStr">
        <is>
          <t>Done</t>
        </is>
      </c>
      <c r="E124" s="32" t="n"/>
      <c r="F124" s="32" t="inlineStr">
        <is>
          <t>App</t>
        </is>
      </c>
      <c r="G124" s="34" t="inlineStr">
        <is>
          <t>Header row, row numbers, guessed delimiter, quoted fields; first 100,000 rows</t>
        </is>
      </c>
      <c r="H124" s="33" t="n"/>
      <c r="I124" s="35" t="n">
        <v>46325</v>
      </c>
    </row>
    <row r="125">
      <c r="A125" s="32" t="inlineStr">
        <is>
          <t>F-124</t>
        </is>
      </c>
      <c r="B125" s="33" t="inlineStr">
        <is>
          <t>Workbench</t>
        </is>
      </c>
      <c r="C125" s="34" t="inlineStr">
        <is>
          <t>CSV preview: sort, filter, edit cells, header-less mode</t>
        </is>
      </c>
      <c r="D125" s="32" t="inlineStr">
        <is>
          <t>Not started</t>
        </is>
      </c>
      <c r="E125" s="32" t="inlineStr">
        <is>
          <t>Low</t>
        </is>
      </c>
      <c r="F125" s="32" t="n"/>
      <c r="G125" s="34" t="n"/>
      <c r="H125" s="33" t="n"/>
      <c r="I125" s="35" t="n">
        <v>46325</v>
      </c>
    </row>
    <row r="126">
      <c r="A126" s="32" t="inlineStr">
        <is>
          <t>F-125</t>
        </is>
      </c>
      <c r="B126" s="33" t="inlineStr">
        <is>
          <t>Editing</t>
        </is>
      </c>
      <c r="C126" s="34" t="inlineStr">
        <is>
          <t>Per-keystroke editing aids kept cheap (bracket depths 4.5x faster, word suggestions 2.7x, tag sync skips text, cached sticky lines)</t>
        </is>
      </c>
      <c r="D126" s="32" t="inlineStr">
        <is>
          <t>Done</t>
        </is>
      </c>
      <c r="E126" s="32" t="n"/>
      <c r="F126" s="32" t="inlineStr">
        <is>
          <t>Tests</t>
        </is>
      </c>
      <c r="G126" s="34" t="inlineStr">
        <is>
          <t>Timings in the README; benchmarks are ignored tests</t>
        </is>
      </c>
      <c r="H126" s="33" t="n"/>
      <c r="I126" s="35" t="n">
        <v>46325</v>
      </c>
    </row>
    <row r="127">
      <c r="A127" s="32" t="inlineStr">
        <is>
          <t>F-126</t>
        </is>
      </c>
      <c r="B127" s="33" t="inlineStr">
        <is>
          <t>Editing</t>
        </is>
      </c>
      <c r="C127" s="34" t="inlineStr">
        <is>
          <t>Bracket colouring that recomputes only from the edited line</t>
        </is>
      </c>
      <c r="D127" s="32" t="inlineStr">
        <is>
          <t>Not started</t>
        </is>
      </c>
      <c r="E127" s="32" t="inlineStr">
        <is>
          <t>Low</t>
        </is>
      </c>
      <c r="F127" s="32" t="n"/>
      <c r="G127" s="34" t="inlineStr">
        <is>
          <t>Today the whole file is re-scanned after each edit (3.6 ms for 25,000 lines)</t>
        </is>
      </c>
      <c r="H127" s="33" t="n"/>
      <c r="I127" s="35" t="n">
        <v>46325</v>
      </c>
    </row>
    <row r="128">
      <c r="A128" s="32" t="inlineStr">
        <is>
          <t>F-127</t>
        </is>
      </c>
      <c r="B128" s="33" t="inlineStr">
        <is>
          <t>Editing</t>
        </is>
      </c>
      <c r="C128" s="34" t="inlineStr">
        <is>
          <t>Faster CSV parsing for very large files</t>
        </is>
      </c>
      <c r="D128" s="32" t="inlineStr">
        <is>
          <t>Not started</t>
        </is>
      </c>
      <c r="E128" s="32" t="inlineStr">
        <is>
          <t>Low</t>
        </is>
      </c>
      <c r="F128" s="32" t="n"/>
      <c r="G128" s="34" t="inlineStr">
        <is>
          <t>About 60 MB/s; done once when the preview opens</t>
        </is>
      </c>
      <c r="H128" s="33" t="n"/>
      <c r="I128" s="35" t="n">
        <v>46325</v>
      </c>
    </row>
    <row r="129">
      <c r="A129" s="32" t="inlineStr">
        <is>
          <t>F-128</t>
        </is>
      </c>
      <c r="B129" s="33" t="inlineStr">
        <is>
          <t>Workbench</t>
        </is>
      </c>
      <c r="C129" s="34" t="inlineStr">
        <is>
          <t>Mouse cursor follows what is under it (I-beam over text and inputs, hand over clickable things and links, resize arrows)</t>
        </is>
      </c>
      <c r="D129" s="32" t="inlineStr">
        <is>
          <t>Done</t>
        </is>
      </c>
      <c r="E129" s="32" t="n"/>
      <c r="F129" s="32" t="inlineStr">
        <is>
          <t>App</t>
        </is>
      </c>
      <c r="G129" s="34" t="inlineStr">
        <is>
          <t>Checked with the real Windows cursor; Ctrl over a word in the editor shows a hand</t>
        </is>
      </c>
      <c r="H129" s="33" t="n"/>
      <c r="I129" s="35" t="n">
        <v>46325</v>
      </c>
    </row>
    <row r="130">
      <c r="A130" s="32" t="inlineStr">
        <is>
          <t>F-129</t>
        </is>
      </c>
      <c r="B130" s="33" t="inlineStr">
        <is>
          <t>Editing</t>
        </is>
      </c>
      <c r="C130" s="34" t="inlineStr">
        <is>
          <t>Minimap rebuilt incrementally on each edit (was the biggest per-frame cost in big files)</t>
        </is>
      </c>
      <c r="D130" s="32" t="inlineStr">
        <is>
          <t>Done</t>
        </is>
      </c>
      <c r="E130" s="32" t="n"/>
      <c r="F130" s="32" t="inlineStr">
        <is>
          <t>App</t>
        </is>
      </c>
      <c r="G130" s="34" t="inlineStr">
        <is>
          <t>12 ms to 0 ms in a 21,000-line file</t>
        </is>
      </c>
      <c r="H130" s="33" t="n"/>
      <c r="I130" s="35" t="n">
        <v>46325</v>
      </c>
    </row>
    <row r="131">
      <c r="A131" s="32" t="inlineStr">
        <is>
          <t>F-130</t>
        </is>
      </c>
      <c r="B131" s="33" t="inlineStr">
        <is>
          <t>Editing</t>
        </is>
      </c>
      <c r="C131" s="34" t="inlineStr">
        <is>
          <t>Syntax colours of visible lines cached per frame</t>
        </is>
      </c>
      <c r="D131" s="32" t="inlineStr">
        <is>
          <t>Done</t>
        </is>
      </c>
      <c r="E131" s="32" t="n"/>
      <c r="F131" s="32" t="inlineStr">
        <is>
          <t>App</t>
        </is>
      </c>
      <c r="G131" s="34" t="n"/>
      <c r="H131" s="33" t="n"/>
      <c r="I131" s="35" t="n">
        <v>46325</v>
      </c>
    </row>
    <row r="132">
      <c r="A132" s="32" t="inlineStr">
        <is>
          <t>F-131</t>
        </is>
      </c>
      <c r="B132" s="33" t="inlineStr">
        <is>
          <t>Editing</t>
        </is>
      </c>
      <c r="C132" s="34" t="inlineStr">
        <is>
          <t>Highlight query compiled once per language</t>
        </is>
      </c>
      <c r="D132" s="32" t="inlineStr">
        <is>
          <t>Done</t>
        </is>
      </c>
      <c r="E132" s="32" t="n"/>
      <c r="F132" s="32" t="inlineStr">
        <is>
          <t>Tests</t>
        </is>
      </c>
      <c r="G132" s="34" t="inlineStr">
        <is>
          <t>17 ms saved per extra file of a language</t>
        </is>
      </c>
      <c r="H132" s="33" t="n"/>
      <c r="I132" s="35" t="n">
        <v>46325</v>
      </c>
    </row>
    <row r="133">
      <c r="A133" s="32" t="inlineStr">
        <is>
          <t>F-132</t>
        </is>
      </c>
      <c r="B133" s="33" t="inlineStr">
        <is>
          <t>Workbench</t>
        </is>
      </c>
      <c r="C133" s="34" t="inlineStr">
        <is>
          <t>Faster startup: git found on a thread, gpg lookup deferred, background tabs parsed when shown</t>
        </is>
      </c>
      <c r="D133" s="32" t="inlineStr">
        <is>
          <t>Done</t>
        </is>
      </c>
      <c r="E133" s="32" t="n"/>
      <c r="F133" s="32" t="inlineStr">
        <is>
          <t>App</t>
        </is>
      </c>
      <c r="G133" s="34" t="inlineStr">
        <is>
          <t>About 200 ms less before the first frame</t>
        </is>
      </c>
      <c r="H133" s="33" t="n"/>
      <c r="I133" s="35" t="n">
        <v>46325</v>
      </c>
    </row>
    <row r="134">
      <c r="A134" s="32" t="inlineStr">
        <is>
          <t>F-133</t>
        </is>
      </c>
      <c r="B134" s="33" t="inlineStr">
        <is>
          <t>Workbench</t>
        </is>
      </c>
      <c r="C134" s="34" t="inlineStr">
        <is>
          <t>Profiling aid (FORGE_PROFILE=1)</t>
        </is>
      </c>
      <c r="D134" s="32" t="inlineStr">
        <is>
          <t>Done</t>
        </is>
      </c>
      <c r="E134" s="32" t="n"/>
      <c r="F134" s="32" t="inlineStr">
        <is>
          <t>App</t>
        </is>
      </c>
      <c r="G134" s="34" t="inlineStr">
        <is>
          <t>Frames per second, time per step, startup phases</t>
        </is>
      </c>
      <c r="H134" s="33" t="n"/>
      <c r="I134" s="35" t="n">
        <v>46325</v>
      </c>
    </row>
    <row r="135">
      <c r="A135" s="32" t="inlineStr">
        <is>
          <t>F-134</t>
        </is>
      </c>
      <c r="B135" s="33" t="inlineStr">
        <is>
          <t>Editing</t>
        </is>
      </c>
      <c r="C135" s="34" t="inlineStr">
        <is>
          <t>Incremental or deferred syntax reparse for very large files</t>
        </is>
      </c>
      <c r="D135" s="32" t="inlineStr">
        <is>
          <t>Not started</t>
        </is>
      </c>
      <c r="E135" s="32" t="inlineStr">
        <is>
          <t>Low</t>
        </is>
      </c>
      <c r="F135" s="32" t="n"/>
      <c r="G135" s="34" t="inlineStr">
        <is>
          <t>4 ms per keystroke at 0.8 MB comes from tree-sitter walking the top-level nodes</t>
        </is>
      </c>
      <c r="H135" s="33" t="n"/>
      <c r="I135" s="35" t="n">
        <v>46325</v>
      </c>
    </row>
    <row r="136">
      <c r="A136" s="32" t="inlineStr">
        <is>
          <t>F-135</t>
        </is>
      </c>
      <c r="B136" s="33" t="inlineStr">
        <is>
          <t>Workbench</t>
        </is>
      </c>
      <c r="C136" s="34" t="inlineStr">
        <is>
          <t>Faster start of GPUI itself (about 670 ms)</t>
        </is>
      </c>
      <c r="D136" s="32" t="inlineStr">
        <is>
          <t>Not started</t>
        </is>
      </c>
      <c r="E136" s="32" t="inlineStr">
        <is>
          <t>Low</t>
        </is>
      </c>
      <c r="F136" s="32" t="n"/>
      <c r="G136" s="34" t="inlineStr">
        <is>
          <t>Outside Forge's own code</t>
        </is>
      </c>
      <c r="H136" s="33" t="n"/>
      <c r="I136" s="35" t="n">
        <v>46325</v>
      </c>
    </row>
    <row r="137">
      <c r="A137" s="32" t="inlineStr">
        <is>
          <t>F-136</t>
        </is>
      </c>
      <c r="B137" s="33" t="inlineStr">
        <is>
          <t>Terminal</t>
        </is>
      </c>
      <c r="C137" s="34" t="inlineStr">
        <is>
          <t>Select text in the terminal and copy it</t>
        </is>
      </c>
      <c r="D137" s="32" t="inlineStr">
        <is>
          <t>Done</t>
        </is>
      </c>
      <c r="E137" s="32" t="inlineStr">
        <is>
          <t>High</t>
        </is>
      </c>
      <c r="F137" s="32" t="inlineStr">
        <is>
          <t>Yes</t>
        </is>
      </c>
      <c r="G137" s="34" t="inlineStr">
        <is>
          <t>Drag, double-click word, triple-click line; Ctrl+C / Ctrl+Shift+C / right-click copy; checked in the running app</t>
        </is>
      </c>
      <c r="H137" s="33" t="n"/>
      <c r="I137" s="35" t="n">
        <v>46326</v>
      </c>
    </row>
    <row r="138">
      <c r="A138" s="32" t="inlineStr">
        <is>
          <t>F-137</t>
        </is>
      </c>
      <c r="B138" s="33" t="inlineStr">
        <is>
          <t>Terminal</t>
        </is>
      </c>
      <c r="C138" s="34" t="inlineStr">
        <is>
          <t>Clickable links in terminal output</t>
        </is>
      </c>
      <c r="D138" s="32" t="inlineStr">
        <is>
          <t>Done</t>
        </is>
      </c>
      <c r="E138" s="32" t="inlineStr">
        <is>
          <t>High</t>
        </is>
      </c>
      <c r="F138" s="32" t="inlineStr">
        <is>
          <t>Yes</t>
        </is>
      </c>
      <c r="G138" s="34" t="inlineStr">
        <is>
          <t>URLs open in the browser, existing file paths (with :line:col) open in the editor; underline and hand cursor on hover. URL opening not clicked in testing</t>
        </is>
      </c>
      <c r="H138" s="33" t="n"/>
      <c r="I138" s="35" t="n">
        <v>46326</v>
      </c>
    </row>
    <row r="139">
      <c r="A139" s="32" t="inlineStr">
        <is>
          <t>F-138</t>
        </is>
      </c>
      <c r="B139" s="33" t="inlineStr">
        <is>
          <t>Terminal</t>
        </is>
      </c>
      <c r="C139" s="34" t="inlineStr">
        <is>
          <t>Auto-scroll while dragging a selection past the edge; selecting scrollback</t>
        </is>
      </c>
      <c r="D139" s="32" t="inlineStr">
        <is>
          <t>Not started</t>
        </is>
      </c>
      <c r="E139" s="32" t="inlineStr">
        <is>
          <t>Low</t>
        </is>
      </c>
      <c r="F139" s="32" t="n"/>
      <c r="G139" s="34" t="inlineStr">
        <is>
          <t>Selection is cleared when the view scrolls</t>
        </is>
      </c>
      <c r="H139" s="33" t="n"/>
      <c r="I139" s="35" t="n">
        <v>46326</v>
      </c>
    </row>
    <row r="140">
      <c r="A140" s="32" t="inlineStr">
        <is>
          <t>F-139</t>
        </is>
      </c>
      <c r="B140" s="33" t="inlineStr">
        <is>
          <t>Workbench</t>
        </is>
      </c>
      <c r="C140" s="34" t="inlineStr">
        <is>
          <t>Welcome page for the empty editor (logo, quick actions, recent folders)</t>
        </is>
      </c>
      <c r="D140" s="32" t="inlineStr">
        <is>
          <t>Done</t>
        </is>
      </c>
      <c r="E140" s="32" t="inlineStr">
        <is>
          <t>Medium</t>
        </is>
      </c>
      <c r="F140" s="32" t="inlineStr">
        <is>
          <t>Yes</t>
        </is>
      </c>
      <c r="G140" s="34" t="inlineStr">
        <is>
          <t>Actions are clickable; checked in the running app</t>
        </is>
      </c>
      <c r="H140" s="33" t="n"/>
      <c r="I140" s="35" t="n">
        <v>46326</v>
      </c>
    </row>
    <row r="141">
      <c r="A141" s="32" t="inlineStr">
        <is>
          <t>F-140</t>
        </is>
      </c>
      <c r="B141" s="33" t="inlineStr">
        <is>
          <t>Workbench</t>
        </is>
      </c>
      <c r="C141" s="34" t="inlineStr">
        <is>
          <t>Activity bar as an icon row with a boxed active icon, overflow menu, logo in the menu bar</t>
        </is>
      </c>
      <c r="D141" s="32" t="inlineStr">
        <is>
          <t>Done</t>
        </is>
      </c>
      <c r="E141" s="32" t="inlineStr">
        <is>
          <t>Medium</t>
        </is>
      </c>
      <c r="F141" s="32" t="inlineStr">
        <is>
          <t>Yes</t>
        </is>
      </c>
      <c r="G141" s="34" t="inlineStr">
        <is>
          <t>Checked in the running app. Icons for Run and Debug, Testing and Remote are not built (no such views)</t>
        </is>
      </c>
      <c r="H141" s="33" t="n"/>
      <c r="I141" s="35" t="n">
        <v>46326</v>
      </c>
    </row>
    <row r="142">
      <c r="A142" s="32" t="inlineStr">
        <is>
          <t>F-141</t>
        </is>
      </c>
      <c r="B142" s="33" t="inlineStr">
        <is>
          <t>Workbench</t>
        </is>
      </c>
      <c r="C142" s="34" t="inlineStr">
        <is>
          <t>Preview (replaceable) tabs from a single click in the Explorer</t>
        </is>
      </c>
      <c r="D142" s="32" t="inlineStr">
        <is>
          <t>Done</t>
        </is>
      </c>
      <c r="E142" s="32" t="inlineStr">
        <is>
          <t>High</t>
        </is>
      </c>
      <c r="F142" s="32" t="inlineStr">
        <is>
          <t>Yes</t>
        </is>
      </c>
      <c r="G142" s="34" t="inlineStr">
        <is>
          <t>Italic tab; kept on edit or double-click; setting workbench.editor.enablePreview. Checked in the running app</t>
        </is>
      </c>
      <c r="H142" s="33" t="n"/>
      <c r="I142" s="35" t="n">
        <v>46326</v>
      </c>
    </row>
    <row r="143">
      <c r="A143" s="32" t="inlineStr">
        <is>
          <t>F-142</t>
        </is>
      </c>
      <c r="B143" s="33" t="inlineStr">
        <is>
          <t>Workbench</t>
        </is>
      </c>
      <c r="C143" s="34" t="inlineStr">
        <is>
          <t>Preview tabs from Quick Open, search results and Go to Definition</t>
        </is>
      </c>
      <c r="D143" s="32" t="inlineStr">
        <is>
          <t>Not started</t>
        </is>
      </c>
      <c r="E143" s="32" t="inlineStr">
        <is>
          <t>Low</t>
        </is>
      </c>
      <c r="F143" s="32" t="n"/>
      <c r="G143" s="34" t="inlineStr">
        <is>
          <t>Only the Explorer opens preview tabs</t>
        </is>
      </c>
      <c r="H143" s="33" t="n"/>
      <c r="I143" s="35" t="n">
        <v>46326</v>
      </c>
    </row>
    <row r="144">
      <c r="A144" s="32" t="inlineStr">
        <is>
          <t>F-143</t>
        </is>
      </c>
      <c r="B144" s="33" t="inlineStr">
        <is>
          <t>Editing</t>
        </is>
      </c>
      <c r="C144" s="34" t="inlineStr">
        <is>
          <t>Untitled tabs (Ctrl+N) and Save As</t>
        </is>
      </c>
      <c r="D144" s="32" t="inlineStr">
        <is>
          <t>Done</t>
        </is>
      </c>
      <c r="E144" s="32" t="inlineStr">
        <is>
          <t>High</t>
        </is>
      </c>
      <c r="F144" s="32" t="inlineStr">
        <is>
          <t>Yes</t>
        </is>
      </c>
      <c r="G144" s="34" t="inlineStr">
        <is>
          <t>System save dialog; tab becomes the file. Checked in the running app. Not built: choosing a language for an untitled tab, restoring untitled tabs after a restart, prompt to save on window close</t>
        </is>
      </c>
      <c r="H144" s="33" t="n"/>
      <c r="I144" s="35" t="n">
        <v>46326</v>
      </c>
    </row>
    <row r="145">
      <c r="A145" s="32" t="inlineStr">
        <is>
          <t>F-144</t>
        </is>
      </c>
      <c r="B145" s="33" t="inlineStr">
        <is>
          <t>Workbench</t>
        </is>
      </c>
      <c r="C145" s="34" t="inlineStr">
        <is>
          <t>Responsive custom title bar: menus (fold into ... and a hamburger), back/forward, search box, layout toggles, settings, window buttons</t>
        </is>
      </c>
      <c r="D145" s="32" t="inlineStr">
        <is>
          <t>Done</t>
        </is>
      </c>
      <c r="E145" s="32" t="inlineStr">
        <is>
          <t>Medium</t>
        </is>
      </c>
      <c r="F145" s="32" t="inlineStr">
        <is>
          <t>Yes</t>
        </is>
      </c>
      <c r="G145" s="34" t="inlineStr">
        <is>
          <t>Checked in the running app at five widths; layout rules unit-tested. Not built: account and Copilot icons, secondary side bar and Customize Layout, submenus inside the ... menu. macOS and Linux not checked</t>
        </is>
      </c>
      <c r="H145" s="33" t="n"/>
      <c r="I145" s="35" t="n">
        <v>46326</v>
      </c>
    </row>
    <row r="146">
      <c r="A146" s="32" t="inlineStr">
        <is>
          <t>F-145</t>
        </is>
      </c>
      <c r="B146" s="33" t="inlineStr">
        <is>
          <t>Navigation</t>
        </is>
      </c>
      <c r="C146" s="34" t="inlineStr">
        <is>
          <t>Outline view in the Explorer (symbol tree that follows the caret)</t>
        </is>
      </c>
      <c r="D146" s="32" t="inlineStr">
        <is>
          <t>Done</t>
        </is>
      </c>
      <c r="E146" s="32" t="inlineStr">
        <is>
          <t>High</t>
        </is>
      </c>
      <c r="F146" s="32" t="inlineStr">
        <is>
          <t>Yes</t>
        </is>
      </c>
      <c r="G146" s="34" t="inlineStr">
        <is>
          <t>LSP symbols, else a text scan (Markdown, Rust, Python, JS/TS, Go...). Checked in the running app; scan unit-tested</t>
        </is>
      </c>
      <c r="H146" s="33" t="n"/>
      <c r="I146" s="35" t="n">
        <v>46326</v>
      </c>
    </row>
    <row r="147">
      <c r="A147" s="32" t="inlineStr">
        <is>
          <t>F-146</t>
        </is>
      </c>
      <c r="B147" s="33" t="inlineStr">
        <is>
          <t>Navigation</t>
        </is>
      </c>
      <c r="C147" s="34" t="inlineStr">
        <is>
          <t>Outline: sort and filter options, breadcrumbs from the outline, resizing the section</t>
        </is>
      </c>
      <c r="D147" s="32" t="inlineStr">
        <is>
          <t>Not started</t>
        </is>
      </c>
      <c r="E147" s="32" t="inlineStr">
        <is>
          <t>Low</t>
        </is>
      </c>
      <c r="F147" s="32" t="n"/>
      <c r="G147" s="34" t="inlineStr">
        <is>
          <t>The section has a fixed height and shows symbols in file order</t>
        </is>
      </c>
      <c r="H147" s="33" t="n"/>
      <c r="I147" s="35" t="n">
        <v>46326</v>
      </c>
    </row>
    <row r="148">
      <c r="A148" s="32" t="inlineStr">
        <is>
          <t>F-147</t>
        </is>
      </c>
      <c r="B148" s="33" t="inlineStr">
        <is>
          <t>Workbench</t>
        </is>
      </c>
      <c r="C148" s="34" t="inlineStr">
        <is>
          <t>Window always opens maximized</t>
        </is>
      </c>
      <c r="D148" s="32" t="inlineStr">
        <is>
          <t>Done</t>
        </is>
      </c>
      <c r="E148" s="32" t="inlineStr">
        <is>
          <t>Medium</t>
        </is>
      </c>
      <c r="F148" s="32" t="inlineStr">
        <is>
          <t>Yes</t>
        </is>
      </c>
      <c r="G148" s="34" t="inlineStr">
        <is>
          <t>Checked in the running app. True full screen (F11, no taskbar) is not built</t>
        </is>
      </c>
      <c r="H148" s="33" t="n"/>
      <c r="I148" s="35" t="n">
        <v>46326</v>
      </c>
    </row>
    <row r="149">
      <c r="A149" s="32" t="inlineStr">
        <is>
          <t>F-148</t>
        </is>
      </c>
      <c r="B149" s="33" t="inlineStr">
        <is>
          <t>Editing</t>
        </is>
      </c>
      <c r="C149" s="34" t="inlineStr">
        <is>
          <t>Language mode picker (status bar) with Auto Detect, and content-based detection</t>
        </is>
      </c>
      <c r="D149" s="32" t="inlineStr">
        <is>
          <t>Done</t>
        </is>
      </c>
      <c r="E149" s="32" t="inlineStr">
        <is>
          <t>High</t>
        </is>
      </c>
      <c r="F149" s="32" t="inlineStr">
        <is>
          <t>Yes</t>
        </is>
      </c>
      <c r="G149" s="34" t="inlineStr">
        <is>
          <t>Name, then shebang/markup/shape of the code; embedded languages follow. Checked in the running app; detection unit-tested</t>
        </is>
      </c>
      <c r="H149" s="33" t="n"/>
      <c r="I149" s="35" t="n">
        <v>46326</v>
      </c>
    </row>
    <row r="150">
      <c r="A150" s="32" t="inlineStr">
        <is>
          <t>F-149</t>
        </is>
      </c>
      <c r="B150" s="33" t="inlineStr">
        <is>
          <t>Editing</t>
        </is>
      </c>
      <c r="C150" s="34" t="inlineStr">
        <is>
          <t>Language mode: associate a file extension with a language, languages from extensions in the picker, remember the choice per file</t>
        </is>
      </c>
      <c r="D150" s="32" t="inlineStr">
        <is>
          <t>Not started</t>
        </is>
      </c>
      <c r="E150" s="32" t="inlineStr">
        <is>
          <t>Low</t>
        </is>
      </c>
      <c r="F150" s="32" t="n"/>
      <c r="G150" s="34" t="inlineStr">
        <is>
          <t>A manual choice lasts only while the file is open</t>
        </is>
      </c>
      <c r="H150" s="33" t="n"/>
      <c r="I150" s="35" t="n">
        <v>46326</v>
      </c>
    </row>
    <row r="151">
      <c r="A151" s="32" t="inlineStr">
        <is>
          <t>F-150</t>
        </is>
      </c>
      <c r="B151" s="33" t="inlineStr">
        <is>
          <t>Editing</t>
        </is>
      </c>
      <c r="C151" s="34" t="inlineStr">
        <is>
          <t>Toggle comment works in HTML, CSS, Markdown, XML, JSON and embedded code</t>
        </is>
      </c>
      <c r="D151" s="32" t="inlineStr">
        <is>
          <t>Done</t>
        </is>
      </c>
      <c r="E151" s="32" t="inlineStr">
        <is>
          <t>High</t>
        </is>
      </c>
      <c r="F151" s="32" t="inlineStr">
        <is>
          <t>Yes</t>
        </is>
      </c>
      <c r="G151" s="34" t="inlineStr">
        <is>
          <t>HTML, XML, Markdown, CSS: one block comment around the selection (like VS Code's block fallback); line-comment languages: one token per line. Language taken at the caret. Checked in the running app; unit-tested</t>
        </is>
      </c>
      <c r="H151" s="33" t="n"/>
      <c r="I151" s="35" t="n">
        <v>46326</v>
      </c>
    </row>
  </sheetData>
  <conditionalFormatting sqref="D2:D500">
    <cfRule type="cellIs" priority="1" operator="equal" dxfId="0">
      <formula>"Done"</formula>
    </cfRule>
    <cfRule type="cellIs" priority="2" operator="equal" dxfId="1">
      <formula>"Partial"</formula>
    </cfRule>
    <cfRule type="cellIs" priority="3" operator="equal" dxfId="2">
      <formula>"Not started"</formula>
    </cfRule>
  </conditionalFormatting>
  <conditionalFormatting sqref="E2:E500">
    <cfRule type="cellIs" priority="4" operator="equal" dxfId="3">
      <formula>"High"</formula>
    </cfRule>
    <cfRule type="cellIs" priority="5" operator="equal" dxfId="4">
      <formula>"Medium"</formula>
    </cfRule>
    <cfRule type="cellIs" priority="6" operator="equal" dxfId="5">
      <formula>"Low"</formula>
    </cfRule>
  </conditionalFormatting>
  <conditionalFormatting sqref="F2:F500">
    <cfRule type="cellIs" priority="7" operator="equal" dxfId="6">
      <formula>"Not verified"</formula>
    </cfRule>
  </conditionalFormatting>
  <dataValidations count="3">
    <dataValidation sqref="D2:D500" showDropDown="0" showInputMessage="0" showErrorMessage="1" allowBlank="1" errorTitle="Status" error="Pick a value from the list." type="list">
      <formula1>"Done,Partial,Not started"</formula1>
    </dataValidation>
    <dataValidation sqref="E2:E500" showDropDown="0" showInputMessage="0" showErrorMessage="1" allowBlank="1" errorTitle="Priority" error="Pick a value from the list." type="list">
      <formula1>"High,Medium,Low"</formula1>
    </dataValidation>
    <dataValidation sqref="F2:F500" showDropDown="0" showInputMessage="0" showErrorMessage="1" allowBlank="1" errorTitle="Verified" error="Pick a value from the list." type="list">
      <formula1>"App,Tests,Not verified"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zoomScale="170" zoomScaleNormal="170" workbookViewId="0">
      <selection activeCell="A1" sqref="A1"/>
    </sheetView>
  </sheetViews>
  <sheetFormatPr baseColWidth="8" defaultRowHeight="15"/>
  <cols>
    <col width="3.00390625" customWidth="1" min="1" max="1"/>
    <col width="18.00390625" customWidth="1" min="2" max="2"/>
    <col width="90.00390625" customWidth="1" min="3" max="3"/>
  </cols>
  <sheetData>
    <row r="2" ht="21.82" customHeight="1">
      <c r="B2" s="27" t="inlineStr">
        <is>
          <t>How to use this tracker</t>
        </is>
      </c>
    </row>
    <row r="4" ht="32" customHeight="1">
      <c r="B4" s="28" t="inlineStr">
        <is>
          <t>Add a feature</t>
        </is>
      </c>
      <c r="C4" s="29" t="inlineStr">
        <is>
          <t>Go to the Features sheet, type in the first empty row under the table (it grows by itself). Give it the next ID (F-097...). Dropdowns appear for Status, Priority and Verified.</t>
        </is>
      </c>
    </row>
    <row r="5" ht="32" customHeight="1">
      <c r="B5" s="28" t="inlineStr">
        <is>
          <t>Finish a feature</t>
        </is>
      </c>
      <c r="C5" s="29" t="inlineStr">
        <is>
          <t>Change Status to Done, set Verified (App = tried in the running editor), and update the Updated date.</t>
        </is>
      </c>
    </row>
    <row r="6" ht="32" customHeight="1">
      <c r="B6" s="28" t="inlineStr">
        <is>
          <t>Find what is left</t>
        </is>
      </c>
      <c r="C6" s="29" t="inlineStr">
        <is>
          <t>Use the filter arrows on the Features header: Status = Partial or Not started, then sort by Priority.</t>
        </is>
      </c>
    </row>
    <row r="7" ht="32" customHeight="1">
      <c r="B7" s="28" t="inlineStr">
        <is>
          <t>Dashboard</t>
        </is>
      </c>
      <c r="C7" s="29" t="inlineStr">
        <is>
          <t>Counts and percentages are formulas over the Features sheet (rows 2 to 500). A new Area needs a new row on the Dashboard: copy an area row and change its name.</t>
        </is>
      </c>
    </row>
    <row r="8" ht="32" customHeight="1">
      <c r="B8" s="28" t="inlineStr">
        <is>
          <t>Status</t>
        </is>
      </c>
      <c r="C8" s="29" t="inlineStr">
        <is>
          <t>Done = built and working. Partial = built with a known gap (see Notes). Not started = not built.</t>
        </is>
      </c>
    </row>
    <row r="9" ht="32" customHeight="1">
      <c r="B9" s="28" t="inlineStr">
        <is>
          <t>Priority</t>
        </is>
      </c>
      <c r="C9" s="29" t="inlineStr">
        <is>
          <t>High / Medium / Low. Filled in for open items only; the values were set by Claude and are yours to change.</t>
        </is>
      </c>
    </row>
    <row r="10" ht="32" customHeight="1">
      <c r="B10" s="28" t="inlineStr">
        <is>
          <t>Verified</t>
        </is>
      </c>
      <c r="C10" s="29" t="inlineStr">
        <is>
          <t>App = checked in the running editor. Tests = unit tests only. Not verified = builds, never run.</t>
        </is>
      </c>
    </row>
    <row r="11" ht="32" customHeight="1">
      <c r="B11" s="28" t="inlineStr">
        <is>
          <t>Owner / Updated</t>
        </is>
      </c>
      <c r="C11" s="29" t="inlineStr">
        <is>
          <t>Free text and a date. Left blank for you to use.</t>
        </is>
      </c>
    </row>
    <row r="13">
      <c r="B13" s="30" t="inlineStr">
        <is>
          <t>Example row</t>
        </is>
      </c>
      <c r="C13" s="2" t="inlineStr">
        <is>
          <t>F-097 | Editing | Bracket pair colorization | Not started | Low | (blank) | Needs tree-sitter bracket queries | (blank) | 2026-11-02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2026-10-30T13:00:18Z</dcterms:created>
  <dcterms:modified xmlns:dcterms="http://purl.org/dc/terms/" xmlns:xsi="http://www.w3.org/2001/XMLSchema-instance" xsi:type="dcterms:W3CDTF">2026-10-30T22:00:01Z</dcterms:modified>
</cp:coreProperties>
</file>